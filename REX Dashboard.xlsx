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k\Documents\"/>
    </mc:Choice>
  </mc:AlternateContent>
  <xr:revisionPtr revIDLastSave="0" documentId="10_ncr:8100000_{787FF6CA-82AF-4059-A8A8-9DE7D3BA0041}" xr6:coauthVersionLast="33" xr6:coauthVersionMax="33" xr10:uidLastSave="{00000000-0000-0000-0000-000000000000}"/>
  <bookViews>
    <workbookView xWindow="0" yWindow="0" windowWidth="20490" windowHeight="7425" firstSheet="2" activeTab="7" xr2:uid="{00000000-000D-0000-FFFF-FFFF00000000}"/>
  </bookViews>
  <sheets>
    <sheet name="Sheet2" sheetId="1" r:id="rId1"/>
    <sheet name="Sheet3" sheetId="2" r:id="rId2"/>
    <sheet name="Sheet4" sheetId="3" r:id="rId3"/>
    <sheet name="Sheet5" sheetId="4" r:id="rId4"/>
    <sheet name="Sheet6" sheetId="5" r:id="rId5"/>
    <sheet name="Sheet1" sheetId="6" r:id="rId6"/>
    <sheet name="Dashboard" sheetId="7" r:id="rId7"/>
    <sheet name="Dashboard_A" sheetId="8" r:id="rId8"/>
  </sheets>
  <definedNames>
    <definedName name="Slicer_Date">#N/A</definedName>
    <definedName name="Slicer_Payment_Method">#N/A</definedName>
    <definedName name="Slicer_Product_Category">#N/A</definedName>
    <definedName name="Slicer_Region">#N/A</definedName>
  </definedNames>
  <calcPr calcId="162913"/>
  <pivotCaches>
    <pivotCache cacheId="1" r:id="rId9"/>
  </pivotCaches>
</workbook>
</file>

<file path=xl/calcChain.xml><?xml version="1.0" encoding="utf-8"?>
<calcChain xmlns="http://schemas.openxmlformats.org/spreadsheetml/2006/main">
  <c r="S23" i="7" l="1"/>
  <c r="S24" i="7" s="1"/>
  <c r="S22" i="7"/>
  <c r="S21" i="7"/>
  <c r="S20" i="7"/>
</calcChain>
</file>

<file path=xl/sharedStrings.xml><?xml version="1.0" encoding="utf-8"?>
<sst xmlns="http://schemas.openxmlformats.org/spreadsheetml/2006/main" count="4075" uniqueCount="583">
  <si>
    <t>Row Labels</t>
  </si>
  <si>
    <t>Sum of Total Sales</t>
  </si>
  <si>
    <t>North</t>
  </si>
  <si>
    <t>South</t>
  </si>
  <si>
    <t>West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</si>
  <si>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</si>
  <si>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</si>
  <si>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</si>
  <si>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</si>
  <si>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</si>
  <si>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</si>
  <si>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</si>
  <si>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</si>
  <si>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</si>
  <si>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</si>
  <si>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</si>
  <si>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</si>
  <si>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</si>
  <si>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Cash</t>
  </si>
  <si>
    <t>POS</t>
  </si>
  <si>
    <t>Transfer</t>
  </si>
  <si>
    <t>Ahmed Yusuf</t>
  </si>
  <si>
    <t>David Musa</t>
  </si>
  <si>
    <t>Esther James</t>
  </si>
  <si>
    <t>Grace Okon</t>
  </si>
  <si>
    <t>John Doe</t>
  </si>
  <si>
    <t>Mariam Sanni</t>
  </si>
  <si>
    <t>Peter John</t>
  </si>
  <si>
    <t>Ruth Bello</t>
  </si>
  <si>
    <t>Clothing</t>
  </si>
  <si>
    <t>Electronics</t>
  </si>
  <si>
    <t>Furniture</t>
  </si>
  <si>
    <t>Groceries</t>
  </si>
  <si>
    <t>TransactionID</t>
  </si>
  <si>
    <t>Date</t>
  </si>
  <si>
    <t>Region</t>
  </si>
  <si>
    <t>Branch</t>
  </si>
  <si>
    <t>Product Category</t>
  </si>
  <si>
    <t>Product Name</t>
  </si>
  <si>
    <t>Units Sold</t>
  </si>
  <si>
    <t>Unit Price</t>
  </si>
  <si>
    <t>Discount</t>
  </si>
  <si>
    <t>Total Sales</t>
  </si>
  <si>
    <t>Salesperson</t>
  </si>
  <si>
    <t>Payment Method</t>
  </si>
  <si>
    <t>TXN0001</t>
  </si>
  <si>
    <t>Jos</t>
  </si>
  <si>
    <t>Women Dress</t>
  </si>
  <si>
    <t>0%</t>
  </si>
  <si>
    <t>TXN0002</t>
  </si>
  <si>
    <t>Ilorin</t>
  </si>
  <si>
    <t>Jeans</t>
  </si>
  <si>
    <t>10%</t>
  </si>
  <si>
    <t>TXN0003</t>
  </si>
  <si>
    <t>Abuja</t>
  </si>
  <si>
    <t>Men T-Shirt</t>
  </si>
  <si>
    <t>TXN0004</t>
  </si>
  <si>
    <t>Ibadan</t>
  </si>
  <si>
    <t>TXN0005</t>
  </si>
  <si>
    <t>Enugu</t>
  </si>
  <si>
    <t>5%</t>
  </si>
  <si>
    <t>TXN0006</t>
  </si>
  <si>
    <t>Kaduna</t>
  </si>
  <si>
    <t>Smart TV 42"</t>
  </si>
  <si>
    <t>TXN0007</t>
  </si>
  <si>
    <t>Wooden Table</t>
  </si>
  <si>
    <t>TXN0008</t>
  </si>
  <si>
    <t>Lagos</t>
  </si>
  <si>
    <t>TXN0009</t>
  </si>
  <si>
    <t>Port-Harcourt</t>
  </si>
  <si>
    <t>Milk Powder 2kg</t>
  </si>
  <si>
    <t>TXN0010</t>
  </si>
  <si>
    <t>Jacket</t>
  </si>
  <si>
    <t>TXN0011</t>
  </si>
  <si>
    <t>TXN0012</t>
  </si>
  <si>
    <t>Bookshelf</t>
  </si>
  <si>
    <t>TXN0013</t>
  </si>
  <si>
    <t>TXN0014</t>
  </si>
  <si>
    <t>TXN0015</t>
  </si>
  <si>
    <t>TXN0016</t>
  </si>
  <si>
    <t>Wardrobe</t>
  </si>
  <si>
    <t>TXN0017</t>
  </si>
  <si>
    <t>TXN0018</t>
  </si>
  <si>
    <t>TXN0019</t>
  </si>
  <si>
    <t>TXN0020</t>
  </si>
  <si>
    <t>Laptop 15"</t>
  </si>
  <si>
    <t>TXN0021</t>
  </si>
  <si>
    <t>Rice 25kg</t>
  </si>
  <si>
    <t>TXN0022</t>
  </si>
  <si>
    <t>Shoes</t>
  </si>
  <si>
    <t>TXN0023</t>
  </si>
  <si>
    <t>Bluetooth Speaker</t>
  </si>
  <si>
    <t>TXN0024</t>
  </si>
  <si>
    <t>Akure</t>
  </si>
  <si>
    <t>TXN0025</t>
  </si>
  <si>
    <t>TXN0026</t>
  </si>
  <si>
    <t>Cooking Oil 5L</t>
  </si>
  <si>
    <t>TXN0027</t>
  </si>
  <si>
    <t>Sofa Set</t>
  </si>
  <si>
    <t>TXN0028</t>
  </si>
  <si>
    <t>TXN0029</t>
  </si>
  <si>
    <t>TXN0030</t>
  </si>
  <si>
    <t>TXN0031</t>
  </si>
  <si>
    <t>TXN0032</t>
  </si>
  <si>
    <t>TXN0033</t>
  </si>
  <si>
    <t>TXN0034</t>
  </si>
  <si>
    <t>Office Chair</t>
  </si>
  <si>
    <t>TXN0035</t>
  </si>
  <si>
    <t>TXN0036</t>
  </si>
  <si>
    <t>Sugar 10kg</t>
  </si>
  <si>
    <t>TXN0037</t>
  </si>
  <si>
    <t>TXN0038</t>
  </si>
  <si>
    <t>Headphones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</si>
  <si>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</si>
  <si>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</si>
  <si>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</si>
  <si>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</si>
  <si>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</si>
  <si>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</si>
  <si>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</si>
  <si>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</si>
  <si>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</si>
  <si>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Beverage Tin</t>
  </si>
  <si>
    <t>TXN0048</t>
  </si>
  <si>
    <t>Smartphone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</si>
  <si>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</si>
  <si>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</si>
  <si>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</si>
  <si>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</si>
  <si>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</si>
  <si>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</si>
  <si>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</si>
  <si>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</si>
  <si>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</si>
  <si>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</si>
  <si>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</si>
  <si>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</si>
  <si>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</si>
  <si>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</si>
  <si>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</si>
  <si>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</si>
  <si>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</si>
  <si>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</si>
  <si>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</si>
  <si>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</si>
  <si>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</si>
  <si>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</si>
  <si>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</si>
  <si>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</si>
  <si>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</si>
  <si>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</si>
  <si>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</si>
  <si>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</si>
  <si>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</si>
  <si>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</si>
  <si>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</si>
  <si>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</si>
  <si>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</si>
  <si>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</si>
  <si>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</si>
  <si>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</si>
  <si>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</si>
  <si>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</si>
  <si>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</si>
  <si>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</si>
  <si>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</si>
  <si>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</si>
  <si>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</si>
  <si>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</si>
  <si>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</si>
  <si>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</si>
  <si>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</si>
  <si>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</si>
  <si>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</si>
  <si>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</si>
  <si>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</si>
  <si>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</si>
  <si>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</si>
  <si>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</si>
  <si>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</si>
  <si>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</si>
  <si>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</si>
  <si>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</si>
  <si>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</si>
  <si>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</si>
  <si>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</si>
  <si>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</si>
  <si>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</si>
  <si>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</si>
  <si>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</si>
  <si>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</si>
  <si>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</si>
  <si>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</si>
  <si>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</si>
  <si>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</si>
  <si>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</si>
  <si>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</si>
  <si>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</si>
  <si>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</si>
  <si>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</si>
  <si>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</si>
  <si>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</si>
  <si>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</si>
  <si>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</si>
  <si>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</si>
  <si>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</si>
  <si>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</si>
  <si>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</si>
  <si>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</si>
  <si>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</si>
  <si>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</si>
  <si>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</si>
  <si>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</si>
  <si>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</si>
  <si>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</si>
  <si>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</si>
  <si>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</si>
  <si>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</si>
  <si>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</si>
  <si>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</si>
  <si>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</si>
  <si>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</si>
  <si>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</si>
  <si>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</si>
  <si>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</si>
  <si>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</si>
  <si>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</si>
  <si>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</si>
  <si>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</si>
  <si>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</si>
  <si>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</si>
  <si>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</si>
  <si>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</si>
  <si>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</si>
  <si>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</si>
  <si>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</si>
  <si>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</si>
  <si>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</si>
  <si>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</si>
  <si>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</si>
  <si>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</si>
  <si>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</si>
  <si>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</si>
  <si>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</si>
  <si>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</si>
  <si>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</si>
  <si>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</si>
  <si>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</si>
  <si>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</si>
  <si>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</si>
  <si>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</si>
  <si>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</si>
  <si>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</si>
  <si>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</si>
  <si>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</si>
  <si>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</si>
  <si>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</si>
  <si>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</si>
  <si>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</si>
  <si>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</si>
  <si>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</si>
  <si>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</si>
  <si>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</si>
  <si>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</si>
  <si>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</si>
  <si>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</si>
  <si>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</si>
  <si>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</si>
  <si>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</si>
  <si>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</si>
  <si>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</si>
  <si>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</si>
  <si>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</si>
  <si>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</si>
  <si>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</si>
  <si>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</si>
  <si>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</si>
  <si>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</si>
  <si>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</si>
  <si>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</si>
  <si>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</si>
  <si>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</si>
  <si>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</si>
  <si>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</si>
  <si>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</si>
  <si>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</si>
  <si>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</si>
  <si>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</si>
  <si>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</si>
  <si>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</si>
  <si>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</si>
  <si>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</si>
  <si>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</si>
  <si>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</si>
  <si>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</si>
  <si>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</si>
  <si>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</si>
  <si>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</si>
  <si>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</si>
  <si>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</si>
  <si>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</si>
  <si>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</si>
  <si>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</si>
  <si>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</si>
  <si>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</si>
  <si>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</si>
  <si>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</si>
  <si>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</si>
  <si>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</si>
  <si>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</si>
  <si>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</si>
  <si>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</si>
  <si>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</si>
  <si>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</si>
  <si>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</si>
  <si>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</si>
  <si>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</si>
  <si>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</si>
  <si>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</si>
  <si>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</si>
  <si>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</si>
  <si>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</si>
  <si>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</si>
  <si>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</si>
  <si>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</si>
  <si>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</si>
  <si>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</si>
  <si>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</si>
  <si>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</si>
  <si>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</si>
  <si>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</si>
  <si>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</si>
  <si>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</si>
  <si>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</si>
  <si>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</si>
  <si>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</si>
  <si>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</si>
  <si>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</si>
  <si>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</si>
  <si>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</si>
  <si>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</si>
  <si>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</si>
  <si>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</si>
  <si>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</si>
  <si>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</si>
  <si>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</si>
  <si>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</si>
  <si>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</si>
  <si>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</si>
  <si>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</si>
  <si>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</si>
  <si>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</si>
  <si>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</si>
  <si>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</si>
  <si>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</si>
  <si>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</si>
  <si>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</si>
  <si>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</si>
  <si>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</si>
  <si>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</si>
  <si>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</si>
  <si>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</si>
  <si>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</si>
  <si>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</si>
  <si>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</si>
  <si>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</si>
  <si>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</si>
  <si>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</si>
  <si>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</si>
  <si>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</si>
  <si>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</si>
  <si>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</si>
  <si>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</si>
  <si>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</si>
  <si>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</si>
  <si>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</si>
  <si>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</si>
  <si>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</si>
  <si>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</si>
  <si>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</si>
  <si>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</si>
  <si>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</si>
  <si>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</si>
  <si>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</si>
  <si>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</si>
  <si>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</si>
  <si>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</si>
  <si>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</si>
  <si>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</si>
  <si>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</si>
  <si>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</si>
  <si>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</si>
  <si>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</si>
  <si>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</si>
  <si>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</si>
  <si>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</si>
  <si>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</si>
  <si>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</si>
  <si>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</si>
  <si>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</si>
  <si>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</si>
  <si>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</si>
  <si>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</si>
  <si>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</si>
  <si>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</si>
  <si>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</si>
  <si>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</si>
  <si>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</si>
  <si>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</si>
  <si>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</si>
  <si>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</si>
  <si>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</si>
  <si>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</si>
  <si>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</si>
  <si>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</si>
  <si>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</si>
  <si>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</si>
  <si>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</si>
  <si>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</si>
  <si>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</si>
  <si>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</si>
  <si>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</si>
  <si>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</si>
  <si>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</si>
  <si>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</si>
  <si>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</si>
  <si>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</si>
  <si>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</si>
  <si>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</si>
  <si>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</si>
  <si>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</si>
  <si>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</si>
  <si>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</si>
  <si>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</si>
  <si>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</si>
  <si>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</si>
  <si>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</si>
  <si>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</si>
  <si>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</si>
  <si>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</si>
  <si>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</si>
  <si>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</si>
  <si>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</si>
  <si>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</si>
  <si>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</si>
  <si>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</si>
  <si>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</si>
  <si>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</si>
  <si>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</si>
  <si>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</si>
  <si>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</si>
  <si>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</si>
  <si>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</si>
  <si>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</si>
  <si>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</si>
  <si>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</si>
  <si>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</si>
  <si>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</si>
  <si>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</si>
  <si>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</si>
  <si>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</si>
  <si>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</si>
  <si>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</si>
  <si>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</si>
  <si>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</si>
  <si>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</si>
  <si>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</si>
  <si>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</si>
  <si>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</si>
  <si>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</si>
  <si>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</si>
  <si>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</si>
  <si>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</si>
  <si>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</si>
  <si>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</si>
  <si>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</si>
  <si>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</si>
  <si>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</si>
  <si>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</si>
  <si>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</si>
  <si>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</si>
  <si>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</si>
  <si>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</si>
  <si>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</si>
  <si>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</si>
  <si>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</si>
  <si>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</si>
  <si>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</si>
  <si>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</si>
  <si>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</si>
  <si>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</si>
  <si>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</si>
  <si>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</si>
  <si>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</si>
  <si>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</si>
  <si>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</si>
  <si>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</si>
  <si>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</si>
  <si>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</si>
  <si>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</si>
  <si>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</si>
  <si>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</si>
  <si>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</si>
  <si>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</si>
  <si>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</si>
  <si>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</si>
  <si>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</si>
  <si>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</si>
  <si>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</si>
  <si>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</si>
  <si>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</si>
  <si>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</si>
  <si>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</si>
  <si>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</si>
  <si>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</si>
  <si>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</si>
  <si>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</si>
  <si>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</si>
  <si>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</si>
  <si>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</si>
  <si>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</si>
  <si>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</si>
  <si>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</si>
  <si>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</si>
  <si>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</si>
  <si>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</si>
  <si>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</si>
  <si>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</si>
  <si>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</si>
  <si>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</si>
  <si>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</si>
  <si>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</si>
  <si>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</si>
  <si>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</si>
  <si>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</si>
  <si>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</si>
  <si>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</si>
  <si>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</si>
  <si>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</si>
  <si>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</si>
  <si>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</si>
  <si>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</si>
  <si>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</si>
  <si>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</si>
  <si>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</si>
  <si>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</si>
  <si>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</si>
  <si>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</si>
  <si>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</si>
  <si>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</si>
  <si>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</si>
  <si>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</si>
  <si>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</si>
  <si>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</si>
  <si>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</si>
  <si>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</si>
  <si>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</si>
  <si>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</si>
  <si>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</si>
  <si>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</si>
  <si>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</si>
  <si>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</si>
  <si>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</si>
  <si>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</si>
  <si>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</si>
  <si>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</si>
  <si>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</si>
  <si>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</si>
  <si>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</si>
  <si>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</si>
  <si>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</si>
  <si>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</si>
  <si>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</si>
  <si>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</si>
  <si>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</si>
  <si>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</si>
  <si>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</si>
  <si>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462,222,904.65
Total Sales</t>
  </si>
  <si>
    <t>6301
Total Units Sold</t>
  </si>
  <si>
    <t>500
Total Transactions</t>
  </si>
  <si>
    <t>924,445.81
Average Sales</t>
  </si>
  <si>
    <t>4.83
Average Discount</t>
  </si>
  <si>
    <t>462222904.7
Top Salesperson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</si>
</sst>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A50021"/>
      <name val="Calibri"/>
      <family val="2"/>
      <scheme val="minor"/>
    </font>
    <font>
      <b/>
      <sz val="1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/>
    <xf numFmtId="0" fontId="0" fillId="0" borderId="0" xfId="0" applyAlignment="1">
      <alignment horizontal="left" inden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2" fillId="3" borderId="0" xfId="0" applyFont="1" applyFill="1"/>
    <xf numFmtId="0" fontId="0" fillId="3" borderId="0" xfId="0" applyFill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[REX Dashboard.xlsx]Sheet2!PivotTable1</c:name>
    <c:fmtId val="2"/>
  </c:pivotSource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Total Sales by Region</a:t>
            </a:r>
          </a:p>
        </c:rich>
      </c:tx>
      <c:layout>
        <c:manualLayout>
          <c:xMode val="edge"/>
          <c:yMode val="edge"/>
          <c:x val="0.38978455818022739"/>
          <c:y val="3.138670166229221E-2"/>
        </c:manualLayout>
      </c:layout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  <a:prstDash val="solid"/>
          </a:ln>
          <a:sp3d/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vert="horz"/>
            <a:lstStyle/>
            <a:p>
              <a:pPr>
                <a:defRPr/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  <a:prstDash val="solid"/>
            </a:ln>
            <a:sp3d/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Sheet2!$A$4:$A$7</c:f>
              <c:strCache>
                <c:ptCount val="3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171837782.10000011</c:v>
                </c:pt>
                <c:pt idx="1">
                  <c:v>142809922.75</c:v>
                </c:pt>
                <c:pt idx="2">
                  <c:v>147575199.80000001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B6-4C16-9CA4-4524A4C0D00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91231615"/>
        <c:axId val="385405343"/>
      </c:barChart>
      <c:catAx>
        <c:axId val="39123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385405343"/>
        <c:crosses val="autoZero"/>
        <c:auto val="1"/>
        <c:lblAlgn val="ctr"/>
        <c:lblOffset val="100"/>
        <c:noMultiLvlLbl val="0"/>
      </c:catAx>
      <c:valAx>
        <c:axId val="38540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391231615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[REX Dashboard.xlsx]Sheet3!PivotTable2</c:name>
    <c:fmtId val="2"/>
  </c:pivotSource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Total Monthly Sales</a:t>
            </a:r>
          </a:p>
        </c:rich>
      </c:tx>
      <c:layout>
        <c:manualLayout>
          <c:xMode val="edge"/>
          <c:yMode val="edge"/>
          <c:x val="0.29572222222222222"/>
          <c:y val="3.138670166229221E-2"/>
        </c:manualLayout>
      </c:layout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</c:pivotFmt>
      <c:pivotFmt>
        <c:idx val="1"/>
      </c:pivotFmt>
      <c:pivotFmt>
        <c:idx val="2"/>
        <c:spPr>
          <a:ln w="34925" cap="rnd">
            <a:solidFill>
              <a:schemeClr val="accent1"/>
            </a:solidFill>
            <a:prstDash val="solid"/>
            <a:round/>
          </a:ln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prstDash val="solid"/>
              <a:round/>
            </a:ln>
            <a:sp3d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prstDash val="solid"/>
                <a:round/>
              </a:ln>
              <a:sp3d/>
            </c:spPr>
          </c:marker>
          <c:cat>
            <c:strRef>
              <c:f>Sheet3!$A$4:$A$16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Sheet3!$B$4:$B$16</c:f>
              <c:numCache>
                <c:formatCode>General</c:formatCode>
                <c:ptCount val="12"/>
                <c:pt idx="0">
                  <c:v>46759494.349999987</c:v>
                </c:pt>
                <c:pt idx="1">
                  <c:v>34715491.950000003</c:v>
                </c:pt>
                <c:pt idx="2">
                  <c:v>29127250.050000008</c:v>
                </c:pt>
                <c:pt idx="3">
                  <c:v>44618920.849999987</c:v>
                </c:pt>
                <c:pt idx="4">
                  <c:v>50120510.700000003</c:v>
                </c:pt>
                <c:pt idx="5">
                  <c:v>42002812.749999993</c:v>
                </c:pt>
                <c:pt idx="6">
                  <c:v>33437661.100000001</c:v>
                </c:pt>
                <c:pt idx="7">
                  <c:v>43557099.400000013</c:v>
                </c:pt>
                <c:pt idx="8">
                  <c:v>37637775.450000003</c:v>
                </c:pt>
                <c:pt idx="9">
                  <c:v>41796140.149999999</c:v>
                </c:pt>
                <c:pt idx="10">
                  <c:v>33884291.049999997</c:v>
                </c:pt>
                <c:pt idx="11">
                  <c:v>24565456.850000001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04-4677-A3D6-C4808B365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0310559"/>
        <c:axId val="388548303"/>
      </c:lineChart>
      <c:catAx>
        <c:axId val="360310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alpha val="10000"/>
                <a:lumMod val="95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388548303"/>
        <c:crosses val="autoZero"/>
        <c:auto val="1"/>
        <c:lblAlgn val="ctr"/>
        <c:lblOffset val="100"/>
        <c:noMultiLvlLbl val="0"/>
      </c:catAx>
      <c:valAx>
        <c:axId val="38854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360310559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[REX Dashboard.xlsx]Sheet4!PivotTable3</c:name>
    <c:fmtId val="2"/>
  </c:pivotSource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Total by Payment Method</a:t>
            </a:r>
          </a:p>
        </c:rich>
      </c:tx>
      <c:layout>
        <c:manualLayout>
          <c:xMode val="edge"/>
          <c:yMode val="edge"/>
          <c:x val="0.2444930008748907"/>
          <c:y val="6.3794109069699623E-2"/>
        </c:manualLayout>
      </c:layout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ln>
            <a:prstDash val="solid"/>
          </a:ln>
        </c:spPr>
        <c:marker>
          <c:symbol val="none"/>
        </c:marker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  <a:prstDash val="solid"/>
          </a:ln>
          <a:sp3d/>
        </c:spPr>
      </c:pivotFmt>
      <c:pivotFmt>
        <c:idx val="7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  <a:prstDash val="solid"/>
          </a:ln>
          <a:sp3d/>
        </c:spPr>
      </c:pivotFmt>
      <c:pivotFmt>
        <c:idx val="8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  <a:prstDash val="solid"/>
          </a:ln>
          <a:sp3d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A42E-4A9E-AD4A-096FFDEAA03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A42E-4A9E-AD4A-096FFDEAA03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A42E-4A9E-AD4A-096FFDEAA03C}"/>
              </c:ext>
            </c:extLst>
          </c:dPt>
          <c:cat>
            <c:strRef>
              <c:f>Sheet4!$A$4:$A$7</c:f>
              <c:strCache>
                <c:ptCount val="3"/>
                <c:pt idx="0">
                  <c:v>Cash</c:v>
                </c:pt>
                <c:pt idx="1">
                  <c:v>POS</c:v>
                </c:pt>
                <c:pt idx="2">
                  <c:v>Transfer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169915438.25</c:v>
                </c:pt>
                <c:pt idx="1">
                  <c:v>141112424.94999999</c:v>
                </c:pt>
                <c:pt idx="2">
                  <c:v>151195041.44999999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42E-4A9E-AD4A-096FFDEAA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[REX Dashboard.xlsx]Sheet5!PivotTable4</c:name>
    <c:fmtId val="2"/>
  </c:pivotSource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Total by Salesperson</a:t>
            </a:r>
          </a:p>
        </c:rich>
      </c:tx>
      <c:layout>
        <c:manualLayout>
          <c:xMode val="edge"/>
          <c:yMode val="edge"/>
          <c:x val="0.31395144356955379"/>
          <c:y val="3.6016331291921853E-2"/>
        </c:manualLayout>
      </c:layout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  <a:prstDash val="solid"/>
          </a:ln>
          <a:sp3d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  <a:prstDash val="solid"/>
            </a:ln>
            <a:sp3d/>
          </c:spPr>
          <c:invertIfNegative val="0"/>
          <c:cat>
            <c:strRef>
              <c:f>Sheet5!$A$4:$A$12</c:f>
              <c:strCache>
                <c:ptCount val="8"/>
                <c:pt idx="0">
                  <c:v>Ahmed Yusuf</c:v>
                </c:pt>
                <c:pt idx="1">
                  <c:v>David Musa</c:v>
                </c:pt>
                <c:pt idx="2">
                  <c:v>Esther James</c:v>
                </c:pt>
                <c:pt idx="3">
                  <c:v>Grace Okon</c:v>
                </c:pt>
                <c:pt idx="4">
                  <c:v>John Doe</c:v>
                </c:pt>
                <c:pt idx="5">
                  <c:v>Mariam Sanni</c:v>
                </c:pt>
                <c:pt idx="6">
                  <c:v>Peter John</c:v>
                </c:pt>
                <c:pt idx="7">
                  <c:v>Ruth Bello</c:v>
                </c:pt>
              </c:strCache>
            </c:strRef>
          </c:cat>
          <c:val>
            <c:numRef>
              <c:f>Sheet5!$B$4:$B$12</c:f>
              <c:numCache>
                <c:formatCode>General</c:formatCode>
                <c:ptCount val="8"/>
                <c:pt idx="0">
                  <c:v>53306619.099999987</c:v>
                </c:pt>
                <c:pt idx="1">
                  <c:v>50834885.950000003</c:v>
                </c:pt>
                <c:pt idx="2">
                  <c:v>61287093</c:v>
                </c:pt>
                <c:pt idx="3">
                  <c:v>74351143.300000012</c:v>
                </c:pt>
                <c:pt idx="4">
                  <c:v>52697800.899999999</c:v>
                </c:pt>
                <c:pt idx="5">
                  <c:v>59497369.799999997</c:v>
                </c:pt>
                <c:pt idx="6">
                  <c:v>37647046.799999997</c:v>
                </c:pt>
                <c:pt idx="7">
                  <c:v>72600945.799999997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F6-4F4D-91C2-EC447A146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384048079"/>
        <c:axId val="382106447"/>
      </c:barChart>
      <c:catAx>
        <c:axId val="384048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382106447"/>
        <c:crosses val="autoZero"/>
        <c:auto val="1"/>
        <c:lblAlgn val="ctr"/>
        <c:lblOffset val="100"/>
        <c:noMultiLvlLbl val="0"/>
      </c:catAx>
      <c:valAx>
        <c:axId val="382106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384048079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[REX Dashboard.xlsx]Sheet6!PivotTable5</c:name>
    <c:fmtId val="2"/>
  </c:pivotSource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Total by Product Category</a:t>
            </a:r>
          </a:p>
        </c:rich>
      </c:tx>
      <c:layout>
        <c:manualLayout>
          <c:xMode val="edge"/>
          <c:yMode val="edge"/>
          <c:x val="0.26486789151356083"/>
          <c:y val="4.5275590551181112E-2"/>
        </c:manualLayout>
      </c:layout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  <a:prstDash val="solid"/>
          </a:ln>
          <a:sp3d/>
        </c:spPr>
        <c:marker>
          <c:symbol val="none"/>
        </c:marker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  <a:prstDash val="solid"/>
            </a:ln>
            <a:sp3d/>
          </c:spPr>
          <c:cat>
            <c:multiLvlStrRef>
              <c:f>Sheet6!$A$4:$A$20</c:f>
              <c:multiLvlStrCache>
                <c:ptCount val="12"/>
                <c:lvl>
                  <c:pt idx="0">
                    <c:v>North</c:v>
                  </c:pt>
                  <c:pt idx="1">
                    <c:v>South</c:v>
                  </c:pt>
                  <c:pt idx="2">
                    <c:v>West</c:v>
                  </c:pt>
                  <c:pt idx="3">
                    <c:v>North</c:v>
                  </c:pt>
                  <c:pt idx="4">
                    <c:v>South</c:v>
                  </c:pt>
                  <c:pt idx="5">
                    <c:v>West</c:v>
                  </c:pt>
                  <c:pt idx="6">
                    <c:v>North</c:v>
                  </c:pt>
                  <c:pt idx="7">
                    <c:v>South</c:v>
                  </c:pt>
                  <c:pt idx="8">
                    <c:v>West</c:v>
                  </c:pt>
                  <c:pt idx="9">
                    <c:v>North</c:v>
                  </c:pt>
                  <c:pt idx="10">
                    <c:v>South</c:v>
                  </c:pt>
                  <c:pt idx="11">
                    <c:v>West</c:v>
                  </c:pt>
                </c:lvl>
                <c:lvl>
                  <c:pt idx="0">
                    <c:v>Clothing</c:v>
                  </c:pt>
                  <c:pt idx="3">
                    <c:v>Electronics</c:v>
                  </c:pt>
                  <c:pt idx="6">
                    <c:v>Furniture</c:v>
                  </c:pt>
                  <c:pt idx="9">
                    <c:v>Groceries</c:v>
                  </c:pt>
                </c:lvl>
              </c:multiLvlStrCache>
            </c:multiLvlStrRef>
          </c:cat>
          <c:val>
            <c:numRef>
              <c:f>Sheet6!$B$4:$B$20</c:f>
              <c:numCache>
                <c:formatCode>General</c:formatCode>
                <c:ptCount val="12"/>
                <c:pt idx="0">
                  <c:v>60055182.149999999</c:v>
                </c:pt>
                <c:pt idx="1">
                  <c:v>43673513.599999987</c:v>
                </c:pt>
                <c:pt idx="2">
                  <c:v>51554970.700000003</c:v>
                </c:pt>
                <c:pt idx="3">
                  <c:v>40741376.099999987</c:v>
                </c:pt>
                <c:pt idx="4">
                  <c:v>37944344.649999999</c:v>
                </c:pt>
                <c:pt idx="5">
                  <c:v>28505892.899999999</c:v>
                </c:pt>
                <c:pt idx="6">
                  <c:v>37146531.499999993</c:v>
                </c:pt>
                <c:pt idx="7">
                  <c:v>37222022.899999999</c:v>
                </c:pt>
                <c:pt idx="8">
                  <c:v>30897230.149999991</c:v>
                </c:pt>
                <c:pt idx="9">
                  <c:v>33894692.350000001</c:v>
                </c:pt>
                <c:pt idx="10">
                  <c:v>23970041.600000001</c:v>
                </c:pt>
                <c:pt idx="11">
                  <c:v>36617106.049999997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E5-4E6E-989E-9A46A75D5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zero"/>
    <c:showDLblsOverMax val="0"/>
  </c:chart>
  <c:spPr>
    <a:ln>
      <a:noFill/>
    </a:ln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3</xdr:row>
      <xdr:rowOff>114300</xdr:rowOff>
    </xdr:from>
    <xdr:to>
      <xdr:col>7</xdr:col>
      <xdr:colOff>361950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333375</xdr:colOff>
      <xdr:row>3</xdr:row>
      <xdr:rowOff>114300</xdr:rowOff>
    </xdr:from>
    <xdr:to>
      <xdr:col>15</xdr:col>
      <xdr:colOff>28575</xdr:colOff>
      <xdr:row>18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7</xdr:col>
      <xdr:colOff>304800</xdr:colOff>
      <xdr:row>32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304800</xdr:colOff>
      <xdr:row>18</xdr:row>
      <xdr:rowOff>0</xdr:rowOff>
    </xdr:from>
    <xdr:to>
      <xdr:col>15</xdr:col>
      <xdr:colOff>0</xdr:colOff>
      <xdr:row>32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0</xdr:colOff>
      <xdr:row>3</xdr:row>
      <xdr:rowOff>114300</xdr:rowOff>
    </xdr:from>
    <xdr:to>
      <xdr:col>21</xdr:col>
      <xdr:colOff>133350</xdr:colOff>
      <xdr:row>18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8</xdr:col>
      <xdr:colOff>436562</xdr:colOff>
      <xdr:row>0</xdr:row>
      <xdr:rowOff>109141</xdr:rowOff>
    </xdr:from>
    <xdr:ext cx="4454921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3788CC9-5D0C-4DEF-BF07-27CDB2806A7A}"/>
            </a:ext>
          </a:extLst>
        </xdr:cNvPr>
        <xdr:cNvSpPr txBox="1"/>
      </xdr:nvSpPr>
      <xdr:spPr>
        <a:xfrm>
          <a:off x="5278437" y="109141"/>
          <a:ext cx="445492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2800" b="1"/>
            <a:t>Sales Data Dashboard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" refreshedDate="45974.872882986107" createdVersion="6" refreshedVersion="6" minRefreshableVersion="3" recordCount="500" xr:uid="{00000000-000A-0000-FFFF-FFFF00000000}">
  <cacheSource type="worksheet">
    <worksheetSource name="Sales_Data"/>
  </cacheSource>
  <cacheFields count="13">
    <cacheField name="TransactionID" numFmtId="0">
      <sharedItems/>
    </cacheField>
    <cacheField name="Date" numFmtId="164">
      <sharedItems containsSemiMixedTypes="0" containsNonDate="0" containsDate="1" containsString="0" minDate="2024-01-01T00:00:00" maxDate="2024-12-31T00:00:00" count="271">
        <d v="2024-04-12T00:00:00"/>
        <d v="2024-09-27T00:00:00"/>
        <d v="2024-07-07T00:00:00"/>
        <d v="2024-05-01T00:00:00"/>
        <d v="2024-03-28T00:00:00"/>
        <d v="2024-05-10T00:00:00"/>
        <d v="2024-09-14T00:00:00"/>
        <d v="2024-10-20T00:00:00"/>
        <d v="2024-10-03T00:00:00"/>
        <d v="2024-01-22T00:00:00"/>
        <d v="2024-02-28T00:00:00"/>
        <d v="2024-07-06T00:00:00"/>
        <d v="2024-06-23T00:00:00"/>
        <d v="2024-02-24T00:00:00"/>
        <d v="2024-05-14T00:00:00"/>
        <d v="2024-03-29T00:00:00"/>
        <d v="2024-12-05T00:00:00"/>
        <d v="2024-09-20T00:00:00"/>
        <d v="2024-07-24T00:00:00"/>
        <d v="2024-02-23T00:00:00"/>
        <d v="2024-11-05T00:00:00"/>
        <d v="2024-09-26T00:00:00"/>
        <d v="2024-08-02T00:00:00"/>
        <d v="2024-08-24T00:00:00"/>
        <d v="2024-02-22T00:00:00"/>
        <d v="2024-08-04T00:00:00"/>
        <d v="2024-01-15T00:00:00"/>
        <d v="2024-12-10T00:00:00"/>
        <d v="2024-12-09T00:00:00"/>
        <d v="2024-03-03T00:00:00"/>
        <d v="2024-06-11T00:00:00"/>
        <d v="2024-09-17T00:00:00"/>
        <d v="2024-02-10T00:00:00"/>
        <d v="2024-11-23T00:00:00"/>
        <d v="2024-02-02T00:00:00"/>
        <d v="2024-03-02T00:00:00"/>
        <d v="2024-04-08T00:00:00"/>
        <d v="2024-02-04T00:00:00"/>
        <d v="2024-09-11T00:00:00"/>
        <d v="2024-10-09T00:00:00"/>
        <d v="2024-06-27T00:00:00"/>
        <d v="2024-02-21T00:00:00"/>
        <d v="2024-08-18T00:00:00"/>
        <d v="2024-11-22T00:00:00"/>
        <d v="2024-10-10T00:00:00"/>
        <d v="2024-02-14T00:00:00"/>
        <d v="2024-10-12T00:00:00"/>
        <d v="2024-12-13T00:00:00"/>
        <d v="2024-08-12T00:00:00"/>
        <d v="2024-08-20T00:00:00"/>
        <d v="2024-05-16T00:00:00"/>
        <d v="2024-06-20T00:00:00"/>
        <d v="2024-06-08T00:00:00"/>
        <d v="2024-06-28T00:00:00"/>
        <d v="2024-10-21T00:00:00"/>
        <d v="2024-04-22T00:00:00"/>
        <d v="2024-07-05T00:00:00"/>
        <d v="2024-08-11T00:00:00"/>
        <d v="2024-05-05T00:00:00"/>
        <d v="2024-08-05T00:00:00"/>
        <d v="2024-07-21T00:00:00"/>
        <d v="2024-04-07T00:00:00"/>
        <d v="2024-08-27T00:00:00"/>
        <d v="2024-05-03T00:00:00"/>
        <d v="2024-12-14T00:00:00"/>
        <d v="2024-09-08T00:00:00"/>
        <d v="2024-05-26T00:00:00"/>
        <d v="2024-07-17T00:00:00"/>
        <d v="2024-05-07T00:00:00"/>
        <d v="2024-12-25T00:00:00"/>
        <d v="2024-05-30T00:00:00"/>
        <d v="2024-09-19T00:00:00"/>
        <d v="2024-04-21T00:00:00"/>
        <d v="2024-01-02T00:00:00"/>
        <d v="2024-09-10T00:00:00"/>
        <d v="2024-02-06T00:00:00"/>
        <d v="2024-07-26T00:00:00"/>
        <d v="2024-05-31T00:00:00"/>
        <d v="2024-06-09T00:00:00"/>
        <d v="2024-04-13T00:00:00"/>
        <d v="2024-12-03T00:00:00"/>
        <d v="2024-06-17T00:00:00"/>
        <d v="2024-03-08T00:00:00"/>
        <d v="2024-10-30T00:00:00"/>
        <d v="2024-02-07T00:00:00"/>
        <d v="2024-02-20T00:00:00"/>
        <d v="2024-04-06T00:00:00"/>
        <d v="2024-11-12T00:00:00"/>
        <d v="2024-01-04T00:00:00"/>
        <d v="2024-01-17T00:00:00"/>
        <d v="2024-06-06T00:00:00"/>
        <d v="2024-01-06T00:00:00"/>
        <d v="2024-10-28T00:00:00"/>
        <d v="2024-07-09T00:00:00"/>
        <d v="2024-10-07T00:00:00"/>
        <d v="2024-04-23T00:00:00"/>
        <d v="2024-06-03T00:00:00"/>
        <d v="2024-10-25T00:00:00"/>
        <d v="2024-06-18T00:00:00"/>
        <d v="2024-01-13T00:00:00"/>
        <d v="2024-06-21T00:00:00"/>
        <d v="2024-05-21T00:00:00"/>
        <d v="2024-05-22T00:00:00"/>
        <d v="2024-12-07T00:00:00"/>
        <d v="2024-07-04T00:00:00"/>
        <d v="2024-02-27T00:00:00"/>
        <d v="2024-04-10T00:00:00"/>
        <d v="2024-04-17T00:00:00"/>
        <d v="2024-09-18T00:00:00"/>
        <d v="2024-05-23T00:00:00"/>
        <d v="2024-04-15T00:00:00"/>
        <d v="2024-04-29T00:00:00"/>
        <d v="2024-08-16T00:00:00"/>
        <d v="2024-10-05T00:00:00"/>
        <d v="2024-05-08T00:00:00"/>
        <d v="2024-10-16T00:00:00"/>
        <d v="2024-09-28T00:00:00"/>
        <d v="2024-03-09T00:00:00"/>
        <d v="2024-03-26T00:00:00"/>
        <d v="2024-04-03T00:00:00"/>
        <d v="2024-07-22T00:00:00"/>
        <d v="2024-02-08T00:00:00"/>
        <d v="2024-08-09T00:00:00"/>
        <d v="2024-09-06T00:00:00"/>
        <d v="2024-04-09T00:00:00"/>
        <d v="2024-08-10T00:00:00"/>
        <d v="2024-11-20T00:00:00"/>
        <d v="2024-01-16T00:00:00"/>
        <d v="2024-06-16T00:00:00"/>
        <d v="2024-02-13T00:00:00"/>
        <d v="2024-08-29T00:00:00"/>
        <d v="2024-12-02T00:00:00"/>
        <d v="2024-03-30T00:00:00"/>
        <d v="2024-04-14T00:00:00"/>
        <d v="2024-11-09T00:00:00"/>
        <d v="2024-03-15T00:00:00"/>
        <d v="2024-12-22T00:00:00"/>
        <d v="2024-08-14T00:00:00"/>
        <d v="2024-02-05T00:00:00"/>
        <d v="2024-04-05T00:00:00"/>
        <d v="2024-07-01T00:00:00"/>
        <d v="2024-12-20T00:00:00"/>
        <d v="2024-01-19T00:00:00"/>
        <d v="2024-02-11T00:00:00"/>
        <d v="2024-08-08T00:00:00"/>
        <d v="2024-05-25T00:00:00"/>
        <d v="2024-06-22T00:00:00"/>
        <d v="2024-06-13T00:00:00"/>
        <d v="2024-05-15T00:00:00"/>
        <d v="2024-05-11T00:00:00"/>
        <d v="2024-10-01T00:00:00"/>
        <d v="2024-03-31T00:00:00"/>
        <d v="2024-12-26T00:00:00"/>
        <d v="2024-11-07T00:00:00"/>
        <d v="2024-04-26T00:00:00"/>
        <d v="2024-10-29T00:00:00"/>
        <d v="2024-07-31T00:00:00"/>
        <d v="2024-06-12T00:00:00"/>
        <d v="2024-02-16T00:00:00"/>
        <d v="2024-01-14T00:00:00"/>
        <d v="2024-01-01T00:00:00"/>
        <d v="2024-09-15T00:00:00"/>
        <d v="2024-01-12T00:00:00"/>
        <d v="2024-06-04T00:00:00"/>
        <d v="2024-08-07T00:00:00"/>
        <d v="2024-08-15T00:00:00"/>
        <d v="2024-05-24T00:00:00"/>
        <d v="2024-07-30T00:00:00"/>
        <d v="2024-02-15T00:00:00"/>
        <d v="2024-03-22T00:00:00"/>
        <d v="2024-07-15T00:00:00"/>
        <d v="2024-01-10T00:00:00"/>
        <d v="2024-10-15T00:00:00"/>
        <d v="2024-09-23T00:00:00"/>
        <d v="2024-11-06T00:00:00"/>
        <d v="2024-01-23T00:00:00"/>
        <d v="2024-07-20T00:00:00"/>
        <d v="2024-03-25T00:00:00"/>
        <d v="2024-07-23T00:00:00"/>
        <d v="2024-10-14T00:00:00"/>
        <d v="2024-04-04T00:00:00"/>
        <d v="2024-06-02T00:00:00"/>
        <d v="2024-04-27T00:00:00"/>
        <d v="2024-11-01T00:00:00"/>
        <d v="2024-08-23T00:00:00"/>
        <d v="2024-03-06T00:00:00"/>
        <d v="2024-11-30T00:00:00"/>
        <d v="2024-11-03T00:00:00"/>
        <d v="2024-05-12T00:00:00"/>
        <d v="2024-11-25T00:00:00"/>
        <d v="2024-02-03T00:00:00"/>
        <d v="2024-04-20T00:00:00"/>
        <d v="2024-01-08T00:00:00"/>
        <d v="2024-07-02T00:00:00"/>
        <d v="2024-01-05T00:00:00"/>
        <d v="2024-11-21T00:00:00"/>
        <d v="2024-03-18T00:00:00"/>
        <d v="2024-10-08T00:00:00"/>
        <d v="2024-08-01T00:00:00"/>
        <d v="2024-03-01T00:00:00"/>
        <d v="2024-10-18T00:00:00"/>
        <d v="2024-05-06T00:00:00"/>
        <d v="2024-08-03T00:00:00"/>
        <d v="2024-01-03T00:00:00"/>
        <d v="2024-08-25T00:00:00"/>
        <d v="2024-09-30T00:00:00"/>
        <d v="2024-01-28T00:00:00"/>
        <d v="2024-09-29T00:00:00"/>
        <d v="2024-01-25T00:00:00"/>
        <d v="2024-03-07T00:00:00"/>
        <d v="2024-08-13T00:00:00"/>
        <d v="2024-12-30T00:00:00"/>
        <d v="2024-03-10T00:00:00"/>
        <d v="2024-09-03T00:00:00"/>
        <d v="2024-11-17T00:00:00"/>
        <d v="2024-10-19T00:00:00"/>
        <d v="2024-12-21T00:00:00"/>
        <d v="2024-11-14T00:00:00"/>
        <d v="2024-10-31T00:00:00"/>
        <d v="2024-11-15T00:00:00"/>
        <d v="2024-05-13T00:00:00"/>
        <d v="2024-05-02T00:00:00"/>
        <d v="2024-11-27T00:00:00"/>
        <d v="2024-07-28T00:00:00"/>
        <d v="2024-11-11T00:00:00"/>
        <d v="2024-11-19T00:00:00"/>
        <d v="2024-06-30T00:00:00"/>
        <d v="2024-05-28T00:00:00"/>
        <d v="2024-11-04T00:00:00"/>
        <d v="2024-11-08T00:00:00"/>
        <d v="2024-10-17T00:00:00"/>
        <d v="2024-12-29T00:00:00"/>
        <d v="2024-10-11T00:00:00"/>
        <d v="2024-02-18T00:00:00"/>
        <d v="2024-03-24T00:00:00"/>
        <d v="2024-05-20T00:00:00"/>
        <d v="2024-07-29T00:00:00"/>
        <d v="2024-06-14T00:00:00"/>
        <d v="2024-06-10T00:00:00"/>
        <d v="2024-11-16T00:00:00"/>
        <d v="2024-01-07T00:00:00"/>
        <d v="2024-01-11T00:00:00"/>
        <d v="2024-07-13T00:00:00"/>
        <d v="2024-07-27T00:00:00"/>
        <d v="2024-09-02T00:00:00"/>
        <d v="2024-03-16T00:00:00"/>
        <d v="2024-12-27T00:00:00"/>
        <d v="2024-07-08T00:00:00"/>
        <d v="2024-05-09T00:00:00"/>
        <d v="2024-08-19T00:00:00"/>
        <d v="2024-07-19T00:00:00"/>
        <d v="2024-03-13T00:00:00"/>
        <d v="2024-12-19T00:00:00"/>
        <d v="2024-12-04T00:00:00"/>
        <d v="2024-07-16T00:00:00"/>
        <d v="2024-01-26T00:00:00"/>
        <d v="2024-06-07T00:00:00"/>
        <d v="2024-09-07T00:00:00"/>
        <d v="2024-01-29T00:00:00"/>
        <d v="2024-11-13T00:00:00"/>
        <d v="2024-08-26T00:00:00"/>
        <d v="2024-12-24T00:00:00"/>
        <d v="2024-03-05T00:00:00"/>
        <d v="2024-05-27T00:00:00"/>
        <d v="2024-08-30T00:00:00"/>
        <d v="2024-04-16T00:00:00"/>
        <d v="2024-08-28T00:00:00"/>
        <d v="2024-09-25T00:00:00"/>
        <d v="2024-11-18T00:00:00"/>
        <d v="2024-01-09T00:00:00"/>
        <d v="2024-06-24T00:00:00"/>
      </sharedItems>
      <fieldGroup par="12" base="1">
        <rangePr groupBy="days" startDate="2024-01-01T00:00:00" endDate="2024-12-31T00:00:00"/>
        <groupItems count="368">
          <s v="&lt;1/1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31/2024"/>
        </groupItems>
      </fieldGroup>
    </cacheField>
    <cacheField name="Region" numFmtId="0">
      <sharedItems count="3">
        <s v="North"/>
        <s v="West"/>
        <s v="South"/>
      </sharedItems>
    </cacheField>
    <cacheField name="Branch" numFmtId="0">
      <sharedItems count="9">
        <s v="Jos"/>
        <s v="Ilorin"/>
        <s v="Abuja"/>
        <s v="Ibadan"/>
        <s v="Enugu"/>
        <s v="Kaduna"/>
        <s v="Lagos"/>
        <s v="Port-Harcourt"/>
        <s v="Akure"/>
      </sharedItems>
    </cacheField>
    <cacheField name="Product Category" numFmtId="0">
      <sharedItems count="4">
        <s v="Clothing"/>
        <s v="Electronics"/>
        <s v="Furniture"/>
        <s v="Groceries"/>
      </sharedItems>
    </cacheField>
    <cacheField name="Product Name" numFmtId="0">
      <sharedItems/>
    </cacheField>
    <cacheField name="Units Sold" numFmtId="0">
      <sharedItems containsSemiMixedTypes="0" containsString="0" containsNumber="1" containsInteger="1" minValue="1" maxValue="24"/>
    </cacheField>
    <cacheField name="Unit Price" numFmtId="0">
      <sharedItems containsSemiMixedTypes="0" containsString="0" containsNumber="1" containsInteger="1" minValue="3126" maxValue="149968"/>
    </cacheField>
    <cacheField name="Discount" numFmtId="0">
      <sharedItems/>
    </cacheField>
    <cacheField name="Total Sales" numFmtId="0">
      <sharedItems containsSemiMixedTypes="0" containsString="0" containsNumber="1" minValue="5445.9" maxValue="3526704"/>
    </cacheField>
    <cacheField name="Salesperson" numFmtId="0">
      <sharedItems count="8">
        <s v="Mariam Sanni"/>
        <s v="Grace Okon"/>
        <s v="John Doe"/>
        <s v="David Musa"/>
        <s v="Peter John"/>
        <s v="Ruth Bello"/>
        <s v="Esther James"/>
        <s v="Ahmed Yusuf"/>
      </sharedItems>
    </cacheField>
    <cacheField name="Payment Method" numFmtId="0">
      <sharedItems count="3">
        <s v="Cash"/>
        <s v="Transfer"/>
        <s v="POS"/>
      </sharedItems>
    </cacheField>
    <cacheField name="Months" numFmtId="0" databaseField="0">
      <fieldGroup base="1">
        <rangePr groupBy="months" startDate="2024-01-01T00:00:00" endDate="2024-12-31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500">
  <r>
    <s v="TXN0001"/>
    <x v="0"/>
    <x v="0"/>
    <x v="0"/>
    <x v="0"/>
    <s v="Women Dress"/>
    <n v="20"/>
    <n v="134932"/>
    <s v="0%"/>
    <n v="2698640"/>
    <x v="0"/>
    <x v="0"/>
  </r>
  <r>
    <s v="TXN0002"/>
    <x v="1"/>
    <x v="1"/>
    <x v="1"/>
    <x v="0"/>
    <s v="Jeans"/>
    <n v="11"/>
    <n v="122879"/>
    <s v="10%"/>
    <n v="1216502.1"/>
    <x v="1"/>
    <x v="1"/>
  </r>
  <r>
    <s v="TXN0003"/>
    <x v="2"/>
    <x v="0"/>
    <x v="2"/>
    <x v="0"/>
    <s v="Men T-Shirt"/>
    <n v="21"/>
    <n v="57886"/>
    <s v="10%"/>
    <n v="1094045.4"/>
    <x v="1"/>
    <x v="0"/>
  </r>
  <r>
    <s v="TXN0004"/>
    <x v="3"/>
    <x v="1"/>
    <x v="3"/>
    <x v="0"/>
    <s v="Women Dress"/>
    <n v="19"/>
    <n v="90498"/>
    <s v="10%"/>
    <n v="1547515.8"/>
    <x v="2"/>
    <x v="1"/>
  </r>
  <r>
    <s v="TXN0005"/>
    <x v="4"/>
    <x v="2"/>
    <x v="4"/>
    <x v="0"/>
    <s v="Women Dress"/>
    <n v="21"/>
    <n v="19023"/>
    <s v="5%"/>
    <n v="379508.85"/>
    <x v="1"/>
    <x v="0"/>
  </r>
  <r>
    <s v="TXN0006"/>
    <x v="5"/>
    <x v="0"/>
    <x v="5"/>
    <x v="1"/>
    <s v="Smart TV 42&quot;"/>
    <n v="22"/>
    <n v="67820"/>
    <s v="0%"/>
    <n v="1492040"/>
    <x v="1"/>
    <x v="2"/>
  </r>
  <r>
    <s v="TXN0007"/>
    <x v="6"/>
    <x v="0"/>
    <x v="0"/>
    <x v="2"/>
    <s v="Wooden Table"/>
    <n v="24"/>
    <n v="67925"/>
    <s v="5%"/>
    <n v="1548690"/>
    <x v="0"/>
    <x v="0"/>
  </r>
  <r>
    <s v="TXN0008"/>
    <x v="7"/>
    <x v="2"/>
    <x v="6"/>
    <x v="0"/>
    <s v="Men T-Shirt"/>
    <n v="2"/>
    <n v="8311"/>
    <s v="10%"/>
    <n v="14959.8"/>
    <x v="3"/>
    <x v="1"/>
  </r>
  <r>
    <s v="TXN0009"/>
    <x v="8"/>
    <x v="2"/>
    <x v="7"/>
    <x v="3"/>
    <s v="Milk Powder 2kg"/>
    <n v="1"/>
    <n v="88305"/>
    <s v="5%"/>
    <n v="83889.75"/>
    <x v="4"/>
    <x v="2"/>
  </r>
  <r>
    <s v="TXN0010"/>
    <x v="9"/>
    <x v="1"/>
    <x v="3"/>
    <x v="0"/>
    <s v="Jacket"/>
    <n v="12"/>
    <n v="133608"/>
    <s v="5%"/>
    <n v="1523131.2"/>
    <x v="5"/>
    <x v="0"/>
  </r>
  <r>
    <s v="TXN0011"/>
    <x v="10"/>
    <x v="0"/>
    <x v="0"/>
    <x v="0"/>
    <s v="Men T-Shirt"/>
    <n v="10"/>
    <n v="133523"/>
    <s v="10%"/>
    <n v="1201707"/>
    <x v="3"/>
    <x v="0"/>
  </r>
  <r>
    <s v="TXN0012"/>
    <x v="11"/>
    <x v="0"/>
    <x v="5"/>
    <x v="2"/>
    <s v="Bookshelf"/>
    <n v="16"/>
    <n v="68725"/>
    <s v="5%"/>
    <n v="1044620"/>
    <x v="1"/>
    <x v="1"/>
  </r>
  <r>
    <s v="TXN0013"/>
    <x v="12"/>
    <x v="0"/>
    <x v="5"/>
    <x v="0"/>
    <s v="Women Dress"/>
    <n v="19"/>
    <n v="70435"/>
    <s v="10%"/>
    <n v="1204438.5"/>
    <x v="5"/>
    <x v="0"/>
  </r>
  <r>
    <s v="TXN0014"/>
    <x v="13"/>
    <x v="2"/>
    <x v="4"/>
    <x v="0"/>
    <s v="Jacket"/>
    <n v="20"/>
    <n v="34551"/>
    <s v="10%"/>
    <n v="621918"/>
    <x v="5"/>
    <x v="0"/>
  </r>
  <r>
    <s v="TXN0015"/>
    <x v="5"/>
    <x v="2"/>
    <x v="4"/>
    <x v="2"/>
    <s v="Wooden Table"/>
    <n v="5"/>
    <n v="6890"/>
    <s v="5%"/>
    <n v="32727.5"/>
    <x v="5"/>
    <x v="0"/>
  </r>
  <r>
    <s v="TXN0016"/>
    <x v="14"/>
    <x v="0"/>
    <x v="5"/>
    <x v="2"/>
    <s v="Wardrobe"/>
    <n v="21"/>
    <n v="90313"/>
    <s v="5%"/>
    <n v="1801744.35"/>
    <x v="0"/>
    <x v="1"/>
  </r>
  <r>
    <s v="TXN0017"/>
    <x v="15"/>
    <x v="2"/>
    <x v="7"/>
    <x v="2"/>
    <s v="Wooden Table"/>
    <n v="14"/>
    <n v="71148"/>
    <s v="10%"/>
    <n v="896464.8"/>
    <x v="0"/>
    <x v="2"/>
  </r>
  <r>
    <s v="TXN0018"/>
    <x v="16"/>
    <x v="1"/>
    <x v="3"/>
    <x v="3"/>
    <s v="Milk Powder 2kg"/>
    <n v="15"/>
    <n v="127358"/>
    <s v="5%"/>
    <n v="1814851.5"/>
    <x v="5"/>
    <x v="0"/>
  </r>
  <r>
    <s v="TXN0019"/>
    <x v="17"/>
    <x v="2"/>
    <x v="6"/>
    <x v="0"/>
    <s v="Men T-Shirt"/>
    <n v="15"/>
    <n v="109530"/>
    <s v="0%"/>
    <n v="1642950"/>
    <x v="6"/>
    <x v="0"/>
  </r>
  <r>
    <s v="TXN0020"/>
    <x v="18"/>
    <x v="0"/>
    <x v="0"/>
    <x v="1"/>
    <s v="Laptop 15&quot;"/>
    <n v="17"/>
    <n v="22457"/>
    <s v="10%"/>
    <n v="343592.1"/>
    <x v="1"/>
    <x v="2"/>
  </r>
  <r>
    <s v="TXN0021"/>
    <x v="19"/>
    <x v="2"/>
    <x v="6"/>
    <x v="3"/>
    <s v="Rice 25kg"/>
    <n v="10"/>
    <n v="55995"/>
    <s v="0%"/>
    <n v="559950"/>
    <x v="0"/>
    <x v="2"/>
  </r>
  <r>
    <s v="TXN0022"/>
    <x v="20"/>
    <x v="0"/>
    <x v="2"/>
    <x v="0"/>
    <s v="Shoes"/>
    <n v="18"/>
    <n v="40065"/>
    <s v="0%"/>
    <n v="721170"/>
    <x v="2"/>
    <x v="2"/>
  </r>
  <r>
    <s v="TXN0023"/>
    <x v="21"/>
    <x v="0"/>
    <x v="5"/>
    <x v="1"/>
    <s v="Bluetooth Speaker"/>
    <n v="16"/>
    <n v="14534"/>
    <s v="5%"/>
    <n v="220916.8"/>
    <x v="3"/>
    <x v="0"/>
  </r>
  <r>
    <s v="TXN0024"/>
    <x v="22"/>
    <x v="1"/>
    <x v="8"/>
    <x v="1"/>
    <s v="Smart TV 42&quot;"/>
    <n v="8"/>
    <n v="26247"/>
    <s v="5%"/>
    <n v="199477.2"/>
    <x v="0"/>
    <x v="1"/>
  </r>
  <r>
    <s v="TXN0025"/>
    <x v="23"/>
    <x v="2"/>
    <x v="4"/>
    <x v="0"/>
    <s v="Jacket"/>
    <n v="18"/>
    <n v="85798"/>
    <s v="0%"/>
    <n v="1544364"/>
    <x v="1"/>
    <x v="0"/>
  </r>
  <r>
    <s v="TXN0026"/>
    <x v="24"/>
    <x v="0"/>
    <x v="2"/>
    <x v="3"/>
    <s v="Cooking Oil 5L"/>
    <n v="24"/>
    <n v="15185"/>
    <s v="5%"/>
    <n v="346218"/>
    <x v="5"/>
    <x v="1"/>
  </r>
  <r>
    <s v="TXN0027"/>
    <x v="25"/>
    <x v="1"/>
    <x v="3"/>
    <x v="2"/>
    <s v="Sofa Set"/>
    <n v="13"/>
    <n v="41044"/>
    <s v="5%"/>
    <n v="506893.4"/>
    <x v="6"/>
    <x v="0"/>
  </r>
  <r>
    <s v="TXN0028"/>
    <x v="26"/>
    <x v="0"/>
    <x v="2"/>
    <x v="2"/>
    <s v="Sofa Set"/>
    <n v="13"/>
    <n v="117752"/>
    <s v="0%"/>
    <n v="1530776"/>
    <x v="0"/>
    <x v="1"/>
  </r>
  <r>
    <s v="TXN0029"/>
    <x v="27"/>
    <x v="1"/>
    <x v="1"/>
    <x v="0"/>
    <s v="Women Dress"/>
    <n v="7"/>
    <n v="5568"/>
    <s v="5%"/>
    <n v="37027.2"/>
    <x v="4"/>
    <x v="0"/>
  </r>
  <r>
    <s v="TXN0030"/>
    <x v="28"/>
    <x v="0"/>
    <x v="5"/>
    <x v="2"/>
    <s v="Bookshelf"/>
    <n v="1"/>
    <n v="136767"/>
    <s v="5%"/>
    <n v="129928.65"/>
    <x v="3"/>
    <x v="1"/>
  </r>
  <r>
    <s v="TXN0031"/>
    <x v="29"/>
    <x v="0"/>
    <x v="2"/>
    <x v="2"/>
    <s v="Sofa Set"/>
    <n v="11"/>
    <n v="42504"/>
    <s v="10%"/>
    <n v="420789.6"/>
    <x v="6"/>
    <x v="1"/>
  </r>
  <r>
    <s v="TXN0032"/>
    <x v="30"/>
    <x v="1"/>
    <x v="8"/>
    <x v="3"/>
    <s v="Cooking Oil 5L"/>
    <n v="3"/>
    <n v="132312"/>
    <s v="5%"/>
    <n v="377089.2"/>
    <x v="7"/>
    <x v="2"/>
  </r>
  <r>
    <s v="TXN0033"/>
    <x v="31"/>
    <x v="1"/>
    <x v="3"/>
    <x v="1"/>
    <s v="Smart TV 42&quot;"/>
    <n v="10"/>
    <n v="29854"/>
    <s v="0%"/>
    <n v="298540"/>
    <x v="5"/>
    <x v="0"/>
  </r>
  <r>
    <s v="TXN0034"/>
    <x v="32"/>
    <x v="1"/>
    <x v="1"/>
    <x v="2"/>
    <s v="Office Chair"/>
    <n v="7"/>
    <n v="11392"/>
    <s v="0%"/>
    <n v="79744"/>
    <x v="4"/>
    <x v="2"/>
  </r>
  <r>
    <s v="TXN0035"/>
    <x v="33"/>
    <x v="2"/>
    <x v="4"/>
    <x v="0"/>
    <s v="Jeans"/>
    <n v="12"/>
    <n v="116569"/>
    <s v="0%"/>
    <n v="1398828"/>
    <x v="1"/>
    <x v="1"/>
  </r>
  <r>
    <s v="TXN0036"/>
    <x v="34"/>
    <x v="0"/>
    <x v="0"/>
    <x v="3"/>
    <s v="Sugar 10kg"/>
    <n v="16"/>
    <n v="130478"/>
    <s v="10%"/>
    <n v="1878883.2"/>
    <x v="6"/>
    <x v="2"/>
  </r>
  <r>
    <s v="TXN0037"/>
    <x v="35"/>
    <x v="1"/>
    <x v="1"/>
    <x v="0"/>
    <s v="Men T-Shirt"/>
    <n v="24"/>
    <n v="126684"/>
    <s v="5%"/>
    <n v="2888395.2"/>
    <x v="1"/>
    <x v="1"/>
  </r>
  <r>
    <s v="TXN0038"/>
    <x v="36"/>
    <x v="2"/>
    <x v="7"/>
    <x v="1"/>
    <s v="Headphones"/>
    <n v="12"/>
    <n v="13965"/>
    <s v="0%"/>
    <n v="167580"/>
    <x v="2"/>
    <x v="1"/>
  </r>
  <r>
    <s v="TXN0039"/>
    <x v="37"/>
    <x v="2"/>
    <x v="7"/>
    <x v="1"/>
    <s v="Headphones"/>
    <n v="1"/>
    <n v="116252"/>
    <s v="5%"/>
    <n v="110439.4"/>
    <x v="5"/>
    <x v="2"/>
  </r>
  <r>
    <s v="TXN0040"/>
    <x v="5"/>
    <x v="0"/>
    <x v="5"/>
    <x v="0"/>
    <s v="Women Dress"/>
    <n v="1"/>
    <n v="101806"/>
    <s v="5%"/>
    <n v="96715.7"/>
    <x v="2"/>
    <x v="0"/>
  </r>
  <r>
    <s v="TXN0041"/>
    <x v="38"/>
    <x v="0"/>
    <x v="2"/>
    <x v="0"/>
    <s v="Jacket"/>
    <n v="14"/>
    <n v="93982"/>
    <s v="5%"/>
    <n v="1249960.6"/>
    <x v="5"/>
    <x v="2"/>
  </r>
  <r>
    <s v="TXN0042"/>
    <x v="39"/>
    <x v="2"/>
    <x v="7"/>
    <x v="3"/>
    <s v="Cooking Oil 5L"/>
    <n v="9"/>
    <n v="134278"/>
    <s v="10%"/>
    <n v="1087651.8"/>
    <x v="6"/>
    <x v="0"/>
  </r>
  <r>
    <s v="TXN0043"/>
    <x v="26"/>
    <x v="1"/>
    <x v="1"/>
    <x v="0"/>
    <s v="Jacket"/>
    <n v="10"/>
    <n v="26419"/>
    <s v="0%"/>
    <n v="264190"/>
    <x v="3"/>
    <x v="0"/>
  </r>
  <r>
    <s v="TXN0044"/>
    <x v="40"/>
    <x v="0"/>
    <x v="2"/>
    <x v="2"/>
    <s v="Wooden Table"/>
    <n v="7"/>
    <n v="125096"/>
    <s v="10%"/>
    <n v="788104.8"/>
    <x v="0"/>
    <x v="0"/>
  </r>
  <r>
    <s v="TXN0045"/>
    <x v="41"/>
    <x v="0"/>
    <x v="2"/>
    <x v="0"/>
    <s v="Jacket"/>
    <n v="4"/>
    <n v="108878"/>
    <s v="0%"/>
    <n v="435512"/>
    <x v="5"/>
    <x v="2"/>
  </r>
  <r>
    <s v="TXN0046"/>
    <x v="42"/>
    <x v="2"/>
    <x v="4"/>
    <x v="1"/>
    <s v="Headphones"/>
    <n v="13"/>
    <n v="65623"/>
    <s v="0%"/>
    <n v="853099"/>
    <x v="6"/>
    <x v="1"/>
  </r>
  <r>
    <s v="TXN0047"/>
    <x v="43"/>
    <x v="0"/>
    <x v="5"/>
    <x v="3"/>
    <s v="Beverage Tin"/>
    <n v="19"/>
    <n v="120845"/>
    <s v="10%"/>
    <n v="2066449.5"/>
    <x v="7"/>
    <x v="2"/>
  </r>
  <r>
    <s v="TXN0048"/>
    <x v="44"/>
    <x v="0"/>
    <x v="2"/>
    <x v="1"/>
    <s v="Smartphone"/>
    <n v="2"/>
    <n v="112225"/>
    <s v="5%"/>
    <n v="213227.5"/>
    <x v="7"/>
    <x v="0"/>
  </r>
  <r>
    <s v="TXN0049"/>
    <x v="45"/>
    <x v="0"/>
    <x v="2"/>
    <x v="3"/>
    <s v="Milk Powder 2kg"/>
    <n v="21"/>
    <n v="5693"/>
    <s v="10%"/>
    <n v="107597.7"/>
    <x v="7"/>
    <x v="2"/>
  </r>
  <r>
    <s v="TXN0050"/>
    <x v="44"/>
    <x v="0"/>
    <x v="0"/>
    <x v="0"/>
    <s v="Shoes"/>
    <n v="12"/>
    <n v="28939"/>
    <s v="5%"/>
    <n v="329904.6"/>
    <x v="4"/>
    <x v="1"/>
  </r>
  <r>
    <s v="TXN0051"/>
    <x v="46"/>
    <x v="2"/>
    <x v="6"/>
    <x v="1"/>
    <s v="Smart TV 42&quot;"/>
    <n v="11"/>
    <n v="21047"/>
    <s v="5%"/>
    <n v="219941.15"/>
    <x v="7"/>
    <x v="2"/>
  </r>
  <r>
    <s v="TXN0052"/>
    <x v="47"/>
    <x v="0"/>
    <x v="5"/>
    <x v="3"/>
    <s v="Sugar 10kg"/>
    <n v="7"/>
    <n v="128117"/>
    <s v="5%"/>
    <n v="851978.05"/>
    <x v="2"/>
    <x v="0"/>
  </r>
  <r>
    <s v="TXN0053"/>
    <x v="48"/>
    <x v="1"/>
    <x v="1"/>
    <x v="3"/>
    <s v="Rice 25kg"/>
    <n v="1"/>
    <n v="131376"/>
    <s v="0%"/>
    <n v="131376"/>
    <x v="2"/>
    <x v="0"/>
  </r>
  <r>
    <s v="TXN0054"/>
    <x v="39"/>
    <x v="2"/>
    <x v="4"/>
    <x v="1"/>
    <s v="Laptop 15&quot;"/>
    <n v="20"/>
    <n v="130948"/>
    <s v="0%"/>
    <n v="2618960"/>
    <x v="1"/>
    <x v="0"/>
  </r>
  <r>
    <s v="TXN0055"/>
    <x v="49"/>
    <x v="1"/>
    <x v="3"/>
    <x v="3"/>
    <s v="Cooking Oil 5L"/>
    <n v="3"/>
    <n v="24959"/>
    <s v="10%"/>
    <n v="67389.3"/>
    <x v="6"/>
    <x v="1"/>
  </r>
  <r>
    <s v="TXN0056"/>
    <x v="50"/>
    <x v="2"/>
    <x v="7"/>
    <x v="3"/>
    <s v="Sugar 10kg"/>
    <n v="5"/>
    <n v="16545"/>
    <s v="0%"/>
    <n v="82725"/>
    <x v="4"/>
    <x v="1"/>
  </r>
  <r>
    <s v="TXN0057"/>
    <x v="51"/>
    <x v="0"/>
    <x v="0"/>
    <x v="0"/>
    <s v="Jeans"/>
    <n v="24"/>
    <n v="76530"/>
    <s v="10%"/>
    <n v="1653048"/>
    <x v="1"/>
    <x v="0"/>
  </r>
  <r>
    <s v="TXN0058"/>
    <x v="52"/>
    <x v="1"/>
    <x v="8"/>
    <x v="3"/>
    <s v="Rice 25kg"/>
    <n v="24"/>
    <n v="71840"/>
    <s v="0%"/>
    <n v="1724160"/>
    <x v="1"/>
    <x v="1"/>
  </r>
  <r>
    <s v="TXN0059"/>
    <x v="53"/>
    <x v="1"/>
    <x v="8"/>
    <x v="0"/>
    <s v="Women Dress"/>
    <n v="17"/>
    <n v="54005"/>
    <s v="0%"/>
    <n v="918085"/>
    <x v="6"/>
    <x v="2"/>
  </r>
  <r>
    <s v="TXN0060"/>
    <x v="41"/>
    <x v="0"/>
    <x v="0"/>
    <x v="1"/>
    <s v="Smartphone"/>
    <n v="12"/>
    <n v="55733"/>
    <s v="5%"/>
    <n v="635356.2"/>
    <x v="7"/>
    <x v="2"/>
  </r>
  <r>
    <s v="TXN0061"/>
    <x v="54"/>
    <x v="2"/>
    <x v="7"/>
    <x v="1"/>
    <s v="Smartphone"/>
    <n v="2"/>
    <n v="70172"/>
    <s v="5%"/>
    <n v="133326.8"/>
    <x v="3"/>
    <x v="1"/>
  </r>
  <r>
    <s v="TXN0062"/>
    <x v="55"/>
    <x v="1"/>
    <x v="3"/>
    <x v="0"/>
    <s v="Jeans"/>
    <n v="24"/>
    <n v="96264"/>
    <s v="5%"/>
    <n v="2194819.2"/>
    <x v="7"/>
    <x v="0"/>
  </r>
  <r>
    <s v="TXN0063"/>
    <x v="56"/>
    <x v="0"/>
    <x v="2"/>
    <x v="1"/>
    <s v="Headphones"/>
    <n v="17"/>
    <n v="115859"/>
    <s v="5%"/>
    <n v="1871122.85"/>
    <x v="3"/>
    <x v="0"/>
  </r>
  <r>
    <s v="TXN0064"/>
    <x v="19"/>
    <x v="1"/>
    <x v="3"/>
    <x v="0"/>
    <s v="Men T-Shirt"/>
    <n v="23"/>
    <n v="93084"/>
    <s v="5%"/>
    <n v="2033885.4"/>
    <x v="3"/>
    <x v="0"/>
  </r>
  <r>
    <s v="TXN0065"/>
    <x v="57"/>
    <x v="2"/>
    <x v="4"/>
    <x v="1"/>
    <s v="Laptop 15&quot;"/>
    <n v="1"/>
    <n v="58680"/>
    <s v="0%"/>
    <n v="58680"/>
    <x v="2"/>
    <x v="0"/>
  </r>
  <r>
    <s v="TXN0066"/>
    <x v="58"/>
    <x v="2"/>
    <x v="7"/>
    <x v="2"/>
    <s v="Bookshelf"/>
    <n v="2"/>
    <n v="53859"/>
    <s v="0%"/>
    <n v="107718"/>
    <x v="1"/>
    <x v="1"/>
  </r>
  <r>
    <s v="TXN0067"/>
    <x v="59"/>
    <x v="2"/>
    <x v="6"/>
    <x v="3"/>
    <s v="Milk Powder 2kg"/>
    <n v="6"/>
    <n v="73467"/>
    <s v="0%"/>
    <n v="440802"/>
    <x v="2"/>
    <x v="0"/>
  </r>
  <r>
    <s v="TXN0068"/>
    <x v="60"/>
    <x v="1"/>
    <x v="1"/>
    <x v="1"/>
    <s v="Bluetooth Speaker"/>
    <n v="24"/>
    <n v="121906"/>
    <s v="10%"/>
    <n v="2633169.6"/>
    <x v="5"/>
    <x v="1"/>
  </r>
  <r>
    <s v="TXN0069"/>
    <x v="38"/>
    <x v="1"/>
    <x v="3"/>
    <x v="0"/>
    <s v="Jeans"/>
    <n v="6"/>
    <n v="109308"/>
    <s v="0%"/>
    <n v="655848"/>
    <x v="1"/>
    <x v="0"/>
  </r>
  <r>
    <s v="TXN0070"/>
    <x v="61"/>
    <x v="0"/>
    <x v="5"/>
    <x v="0"/>
    <s v="Jacket"/>
    <n v="6"/>
    <n v="92045"/>
    <s v="0%"/>
    <n v="552270"/>
    <x v="1"/>
    <x v="2"/>
  </r>
  <r>
    <s v="TXN0071"/>
    <x v="62"/>
    <x v="0"/>
    <x v="2"/>
    <x v="1"/>
    <s v="Headphones"/>
    <n v="16"/>
    <n v="96384"/>
    <s v="10%"/>
    <n v="1387929.6"/>
    <x v="7"/>
    <x v="1"/>
  </r>
  <r>
    <s v="TXN0072"/>
    <x v="63"/>
    <x v="0"/>
    <x v="2"/>
    <x v="2"/>
    <s v="Office Chair"/>
    <n v="6"/>
    <n v="54663"/>
    <s v="10%"/>
    <n v="295180.2"/>
    <x v="6"/>
    <x v="2"/>
  </r>
  <r>
    <s v="TXN0073"/>
    <x v="64"/>
    <x v="0"/>
    <x v="0"/>
    <x v="1"/>
    <s v="Smartphone"/>
    <n v="3"/>
    <n v="52811"/>
    <s v="5%"/>
    <n v="150511.35"/>
    <x v="5"/>
    <x v="0"/>
  </r>
  <r>
    <s v="TXN0074"/>
    <x v="65"/>
    <x v="2"/>
    <x v="4"/>
    <x v="1"/>
    <s v="Smart TV 42&quot;"/>
    <n v="4"/>
    <n v="127249"/>
    <s v="5%"/>
    <n v="483546.2"/>
    <x v="3"/>
    <x v="2"/>
  </r>
  <r>
    <s v="TXN0075"/>
    <x v="66"/>
    <x v="2"/>
    <x v="4"/>
    <x v="3"/>
    <s v="Beverage Tin"/>
    <n v="20"/>
    <n v="136983"/>
    <s v="10%"/>
    <n v="2465694"/>
    <x v="1"/>
    <x v="0"/>
  </r>
  <r>
    <s v="TXN0076"/>
    <x v="67"/>
    <x v="2"/>
    <x v="6"/>
    <x v="1"/>
    <s v="Headphones"/>
    <n v="20"/>
    <n v="142752"/>
    <s v="10%"/>
    <n v="2569536"/>
    <x v="2"/>
    <x v="2"/>
  </r>
  <r>
    <s v="TXN0077"/>
    <x v="68"/>
    <x v="2"/>
    <x v="6"/>
    <x v="2"/>
    <s v="Office Chair"/>
    <n v="7"/>
    <n v="103689"/>
    <s v="0%"/>
    <n v="725823"/>
    <x v="1"/>
    <x v="0"/>
  </r>
  <r>
    <s v="TXN0078"/>
    <x v="69"/>
    <x v="2"/>
    <x v="4"/>
    <x v="2"/>
    <s v="Sofa Set"/>
    <n v="1"/>
    <n v="135874"/>
    <s v="10%"/>
    <n v="122286.6"/>
    <x v="4"/>
    <x v="2"/>
  </r>
  <r>
    <s v="TXN0079"/>
    <x v="70"/>
    <x v="1"/>
    <x v="1"/>
    <x v="3"/>
    <s v="Milk Powder 2kg"/>
    <n v="10"/>
    <n v="33306"/>
    <s v="10%"/>
    <n v="299754"/>
    <x v="0"/>
    <x v="1"/>
  </r>
  <r>
    <s v="TXN0080"/>
    <x v="71"/>
    <x v="1"/>
    <x v="3"/>
    <x v="3"/>
    <s v="Sugar 10kg"/>
    <n v="16"/>
    <n v="99601"/>
    <s v="0%"/>
    <n v="1593616"/>
    <x v="0"/>
    <x v="0"/>
  </r>
  <r>
    <s v="TXN0081"/>
    <x v="72"/>
    <x v="0"/>
    <x v="2"/>
    <x v="1"/>
    <s v="Smartphone"/>
    <n v="20"/>
    <n v="114472"/>
    <s v="5%"/>
    <n v="2174968"/>
    <x v="5"/>
    <x v="1"/>
  </r>
  <r>
    <s v="TXN0082"/>
    <x v="73"/>
    <x v="2"/>
    <x v="6"/>
    <x v="3"/>
    <s v="Beverage Tin"/>
    <n v="1"/>
    <n v="106727"/>
    <s v="10%"/>
    <n v="96054.3"/>
    <x v="4"/>
    <x v="2"/>
  </r>
  <r>
    <s v="TXN0083"/>
    <x v="74"/>
    <x v="2"/>
    <x v="7"/>
    <x v="1"/>
    <s v="Bluetooth Speaker"/>
    <n v="12"/>
    <n v="23932"/>
    <s v="10%"/>
    <n v="258465.6"/>
    <x v="4"/>
    <x v="0"/>
  </r>
  <r>
    <s v="TXN0084"/>
    <x v="75"/>
    <x v="0"/>
    <x v="2"/>
    <x v="0"/>
    <s v="Jacket"/>
    <n v="23"/>
    <n v="10400"/>
    <s v="10%"/>
    <n v="215280"/>
    <x v="6"/>
    <x v="0"/>
  </r>
  <r>
    <s v="TXN0085"/>
    <x v="36"/>
    <x v="0"/>
    <x v="2"/>
    <x v="2"/>
    <s v="Sofa Set"/>
    <n v="19"/>
    <n v="18151"/>
    <s v="0%"/>
    <n v="344869"/>
    <x v="5"/>
    <x v="0"/>
  </r>
  <r>
    <s v="TXN0086"/>
    <x v="76"/>
    <x v="0"/>
    <x v="0"/>
    <x v="1"/>
    <s v="Smart TV 42&quot;"/>
    <n v="3"/>
    <n v="7499"/>
    <s v="0%"/>
    <n v="22497"/>
    <x v="5"/>
    <x v="0"/>
  </r>
  <r>
    <s v="TXN0087"/>
    <x v="77"/>
    <x v="1"/>
    <x v="1"/>
    <x v="1"/>
    <s v="Laptop 15&quot;"/>
    <n v="22"/>
    <n v="129071"/>
    <s v="0%"/>
    <n v="2839562"/>
    <x v="6"/>
    <x v="2"/>
  </r>
  <r>
    <s v="TXN0088"/>
    <x v="78"/>
    <x v="1"/>
    <x v="3"/>
    <x v="2"/>
    <s v="Bookshelf"/>
    <n v="24"/>
    <n v="146946"/>
    <s v="0%"/>
    <n v="3526704"/>
    <x v="2"/>
    <x v="0"/>
  </r>
  <r>
    <s v="TXN0089"/>
    <x v="55"/>
    <x v="0"/>
    <x v="5"/>
    <x v="0"/>
    <s v="Women Dress"/>
    <n v="8"/>
    <n v="8539"/>
    <s v="5%"/>
    <n v="64896.4"/>
    <x v="6"/>
    <x v="2"/>
  </r>
  <r>
    <s v="TXN0090"/>
    <x v="79"/>
    <x v="0"/>
    <x v="0"/>
    <x v="0"/>
    <s v="Jeans"/>
    <n v="20"/>
    <n v="129063"/>
    <s v="5%"/>
    <n v="2452197"/>
    <x v="0"/>
    <x v="2"/>
  </r>
  <r>
    <s v="TXN0091"/>
    <x v="36"/>
    <x v="2"/>
    <x v="7"/>
    <x v="0"/>
    <s v="Jeans"/>
    <n v="18"/>
    <n v="24357"/>
    <s v="10%"/>
    <n v="394583.4"/>
    <x v="3"/>
    <x v="0"/>
  </r>
  <r>
    <s v="TXN0092"/>
    <x v="80"/>
    <x v="2"/>
    <x v="6"/>
    <x v="0"/>
    <s v="Shoes"/>
    <n v="2"/>
    <n v="5869"/>
    <s v="10%"/>
    <n v="10564.2"/>
    <x v="1"/>
    <x v="1"/>
  </r>
  <r>
    <s v="TXN0093"/>
    <x v="30"/>
    <x v="0"/>
    <x v="2"/>
    <x v="0"/>
    <s v="Jacket"/>
    <n v="16"/>
    <n v="53108"/>
    <s v="5%"/>
    <n v="807241.6"/>
    <x v="5"/>
    <x v="1"/>
  </r>
  <r>
    <s v="TXN0094"/>
    <x v="81"/>
    <x v="1"/>
    <x v="3"/>
    <x v="0"/>
    <s v="Women Dress"/>
    <n v="4"/>
    <n v="93272"/>
    <s v="10%"/>
    <n v="335779.2"/>
    <x v="4"/>
    <x v="0"/>
  </r>
  <r>
    <s v="TXN0095"/>
    <x v="82"/>
    <x v="0"/>
    <x v="0"/>
    <x v="0"/>
    <s v="Shoes"/>
    <n v="1"/>
    <n v="94412"/>
    <s v="0%"/>
    <n v="94412"/>
    <x v="6"/>
    <x v="2"/>
  </r>
  <r>
    <s v="TXN0096"/>
    <x v="83"/>
    <x v="0"/>
    <x v="5"/>
    <x v="0"/>
    <s v="Jeans"/>
    <n v="20"/>
    <n v="61871"/>
    <s v="5%"/>
    <n v="1175549"/>
    <x v="0"/>
    <x v="2"/>
  </r>
  <r>
    <s v="TXN0097"/>
    <x v="14"/>
    <x v="1"/>
    <x v="8"/>
    <x v="2"/>
    <s v="Wooden Table"/>
    <n v="3"/>
    <n v="89416"/>
    <s v="10%"/>
    <n v="241423.2"/>
    <x v="7"/>
    <x v="1"/>
  </r>
  <r>
    <s v="TXN0098"/>
    <x v="68"/>
    <x v="1"/>
    <x v="8"/>
    <x v="0"/>
    <s v="Women Dress"/>
    <n v="1"/>
    <n v="110450"/>
    <s v="10%"/>
    <n v="99405"/>
    <x v="4"/>
    <x v="2"/>
  </r>
  <r>
    <s v="TXN0099"/>
    <x v="9"/>
    <x v="2"/>
    <x v="4"/>
    <x v="0"/>
    <s v="Men T-Shirt"/>
    <n v="14"/>
    <n v="119381"/>
    <s v="5%"/>
    <n v="1587767.3"/>
    <x v="3"/>
    <x v="0"/>
  </r>
  <r>
    <s v="TXN0100"/>
    <x v="84"/>
    <x v="2"/>
    <x v="4"/>
    <x v="2"/>
    <s v="Sofa Set"/>
    <n v="6"/>
    <n v="137508"/>
    <s v="0%"/>
    <n v="825048"/>
    <x v="2"/>
    <x v="0"/>
  </r>
  <r>
    <s v="TXN0101"/>
    <x v="85"/>
    <x v="0"/>
    <x v="2"/>
    <x v="3"/>
    <s v="Milk Powder 2kg"/>
    <n v="22"/>
    <n v="139967"/>
    <s v="0%"/>
    <n v="3079274"/>
    <x v="3"/>
    <x v="2"/>
  </r>
  <r>
    <s v="TXN0102"/>
    <x v="39"/>
    <x v="2"/>
    <x v="6"/>
    <x v="0"/>
    <s v="Jeans"/>
    <n v="2"/>
    <n v="57045"/>
    <s v="5%"/>
    <n v="108385.5"/>
    <x v="2"/>
    <x v="1"/>
  </r>
  <r>
    <s v="TXN0103"/>
    <x v="86"/>
    <x v="1"/>
    <x v="3"/>
    <x v="0"/>
    <s v="Men T-Shirt"/>
    <n v="15"/>
    <n v="110455"/>
    <s v="0%"/>
    <n v="1656825"/>
    <x v="6"/>
    <x v="0"/>
  </r>
  <r>
    <s v="TXN0104"/>
    <x v="87"/>
    <x v="2"/>
    <x v="7"/>
    <x v="0"/>
    <s v="Women Dress"/>
    <n v="16"/>
    <n v="48714"/>
    <s v="5%"/>
    <n v="740452.8"/>
    <x v="6"/>
    <x v="0"/>
  </r>
  <r>
    <s v="TXN0105"/>
    <x v="88"/>
    <x v="2"/>
    <x v="4"/>
    <x v="0"/>
    <s v="Women Dress"/>
    <n v="3"/>
    <n v="112616"/>
    <s v="10%"/>
    <n v="304063.2"/>
    <x v="4"/>
    <x v="2"/>
  </r>
  <r>
    <s v="TXN0106"/>
    <x v="89"/>
    <x v="0"/>
    <x v="5"/>
    <x v="0"/>
    <s v="Shoes"/>
    <n v="12"/>
    <n v="127123"/>
    <s v="0%"/>
    <n v="1525476"/>
    <x v="0"/>
    <x v="1"/>
  </r>
  <r>
    <s v="TXN0107"/>
    <x v="90"/>
    <x v="1"/>
    <x v="1"/>
    <x v="1"/>
    <s v="Bluetooth Speaker"/>
    <n v="14"/>
    <n v="39212"/>
    <s v="0%"/>
    <n v="548968"/>
    <x v="0"/>
    <x v="2"/>
  </r>
  <r>
    <s v="TXN0108"/>
    <x v="91"/>
    <x v="1"/>
    <x v="3"/>
    <x v="3"/>
    <s v="Beverage Tin"/>
    <n v="3"/>
    <n v="66208"/>
    <s v="10%"/>
    <n v="178761.6"/>
    <x v="3"/>
    <x v="1"/>
  </r>
  <r>
    <s v="TXN0109"/>
    <x v="75"/>
    <x v="1"/>
    <x v="1"/>
    <x v="0"/>
    <s v="Jeans"/>
    <n v="24"/>
    <n v="6420"/>
    <s v="0%"/>
    <n v="154080"/>
    <x v="4"/>
    <x v="0"/>
  </r>
  <r>
    <s v="TXN0110"/>
    <x v="92"/>
    <x v="0"/>
    <x v="5"/>
    <x v="1"/>
    <s v="Laptop 15&quot;"/>
    <n v="21"/>
    <n v="118294"/>
    <s v="0%"/>
    <n v="2484174"/>
    <x v="5"/>
    <x v="0"/>
  </r>
  <r>
    <s v="TXN0111"/>
    <x v="36"/>
    <x v="0"/>
    <x v="5"/>
    <x v="3"/>
    <s v="Sugar 10kg"/>
    <n v="1"/>
    <n v="127019"/>
    <s v="5%"/>
    <n v="120668.05"/>
    <x v="3"/>
    <x v="2"/>
  </r>
  <r>
    <s v="TXN0112"/>
    <x v="93"/>
    <x v="1"/>
    <x v="3"/>
    <x v="3"/>
    <s v="Beverage Tin"/>
    <n v="21"/>
    <n v="9102"/>
    <s v="5%"/>
    <n v="181584.9"/>
    <x v="3"/>
    <x v="1"/>
  </r>
  <r>
    <s v="TXN0113"/>
    <x v="78"/>
    <x v="0"/>
    <x v="5"/>
    <x v="1"/>
    <s v="Bluetooth Speaker"/>
    <n v="3"/>
    <n v="29641"/>
    <s v="10%"/>
    <n v="80030.7"/>
    <x v="0"/>
    <x v="2"/>
  </r>
  <r>
    <s v="TXN0114"/>
    <x v="94"/>
    <x v="2"/>
    <x v="4"/>
    <x v="2"/>
    <s v="Office Chair"/>
    <n v="10"/>
    <n v="106746"/>
    <s v="5%"/>
    <n v="1014087"/>
    <x v="4"/>
    <x v="2"/>
  </r>
  <r>
    <s v="TXN0115"/>
    <x v="69"/>
    <x v="2"/>
    <x v="7"/>
    <x v="2"/>
    <s v="Bookshelf"/>
    <n v="14"/>
    <n v="39631"/>
    <s v="0%"/>
    <n v="554834"/>
    <x v="2"/>
    <x v="0"/>
  </r>
  <r>
    <s v="TXN0116"/>
    <x v="95"/>
    <x v="1"/>
    <x v="1"/>
    <x v="3"/>
    <s v="Rice 25kg"/>
    <n v="15"/>
    <n v="14093"/>
    <s v="0%"/>
    <n v="211395"/>
    <x v="6"/>
    <x v="0"/>
  </r>
  <r>
    <s v="TXN0117"/>
    <x v="70"/>
    <x v="2"/>
    <x v="6"/>
    <x v="2"/>
    <s v="Office Chair"/>
    <n v="2"/>
    <n v="59958"/>
    <s v="10%"/>
    <n v="107924.4"/>
    <x v="3"/>
    <x v="1"/>
  </r>
  <r>
    <s v="TXN0118"/>
    <x v="96"/>
    <x v="1"/>
    <x v="8"/>
    <x v="0"/>
    <s v="Jacket"/>
    <n v="10"/>
    <n v="108864"/>
    <s v="0%"/>
    <n v="1088640"/>
    <x v="2"/>
    <x v="2"/>
  </r>
  <r>
    <s v="TXN0119"/>
    <x v="97"/>
    <x v="2"/>
    <x v="4"/>
    <x v="1"/>
    <s v="Smartphone"/>
    <n v="22"/>
    <n v="108510"/>
    <s v="0%"/>
    <n v="2387220"/>
    <x v="5"/>
    <x v="1"/>
  </r>
  <r>
    <s v="TXN0120"/>
    <x v="98"/>
    <x v="1"/>
    <x v="8"/>
    <x v="3"/>
    <s v="Sugar 10kg"/>
    <n v="23"/>
    <n v="32592"/>
    <s v="5%"/>
    <n v="712135.2"/>
    <x v="1"/>
    <x v="0"/>
  </r>
  <r>
    <s v="TXN0121"/>
    <x v="99"/>
    <x v="1"/>
    <x v="3"/>
    <x v="3"/>
    <s v="Cooking Oil 5L"/>
    <n v="7"/>
    <n v="113627"/>
    <s v="5%"/>
    <n v="755619.55"/>
    <x v="0"/>
    <x v="1"/>
  </r>
  <r>
    <s v="TXN0122"/>
    <x v="100"/>
    <x v="2"/>
    <x v="6"/>
    <x v="2"/>
    <s v="Office Chair"/>
    <n v="20"/>
    <n v="5368"/>
    <s v="10%"/>
    <n v="96624"/>
    <x v="0"/>
    <x v="0"/>
  </r>
  <r>
    <s v="TXN0123"/>
    <x v="17"/>
    <x v="1"/>
    <x v="1"/>
    <x v="0"/>
    <s v="Women Dress"/>
    <n v="14"/>
    <n v="73031"/>
    <s v="0%"/>
    <n v="1022434"/>
    <x v="4"/>
    <x v="0"/>
  </r>
  <r>
    <s v="TXN0124"/>
    <x v="101"/>
    <x v="2"/>
    <x v="7"/>
    <x v="2"/>
    <s v="Office Chair"/>
    <n v="12"/>
    <n v="90922"/>
    <s v="0%"/>
    <n v="1091064"/>
    <x v="1"/>
    <x v="2"/>
  </r>
  <r>
    <s v="TXN0125"/>
    <x v="102"/>
    <x v="2"/>
    <x v="4"/>
    <x v="3"/>
    <s v="Beverage Tin"/>
    <n v="2"/>
    <n v="145038"/>
    <s v="5%"/>
    <n v="275572.2"/>
    <x v="3"/>
    <x v="2"/>
  </r>
  <r>
    <s v="TXN0126"/>
    <x v="103"/>
    <x v="2"/>
    <x v="7"/>
    <x v="2"/>
    <s v="Wardrobe"/>
    <n v="19"/>
    <n v="96848"/>
    <s v="10%"/>
    <n v="1656100.8"/>
    <x v="7"/>
    <x v="2"/>
  </r>
  <r>
    <s v="TXN0127"/>
    <x v="104"/>
    <x v="1"/>
    <x v="3"/>
    <x v="2"/>
    <s v="Sofa Set"/>
    <n v="22"/>
    <n v="58609"/>
    <s v="5%"/>
    <n v="1224928.1"/>
    <x v="5"/>
    <x v="1"/>
  </r>
  <r>
    <s v="TXN0128"/>
    <x v="105"/>
    <x v="0"/>
    <x v="5"/>
    <x v="0"/>
    <s v="Jacket"/>
    <n v="22"/>
    <n v="34024"/>
    <s v="0%"/>
    <n v="748528"/>
    <x v="5"/>
    <x v="2"/>
  </r>
  <r>
    <s v="TXN0129"/>
    <x v="53"/>
    <x v="1"/>
    <x v="8"/>
    <x v="2"/>
    <s v="Office Chair"/>
    <n v="10"/>
    <n v="130813"/>
    <s v="0%"/>
    <n v="1308130"/>
    <x v="1"/>
    <x v="0"/>
  </r>
  <r>
    <s v="TXN0130"/>
    <x v="1"/>
    <x v="0"/>
    <x v="2"/>
    <x v="0"/>
    <s v="Jeans"/>
    <n v="22"/>
    <n v="149410"/>
    <s v="5%"/>
    <n v="3122669"/>
    <x v="5"/>
    <x v="1"/>
  </r>
  <r>
    <s v="TXN0131"/>
    <x v="106"/>
    <x v="2"/>
    <x v="4"/>
    <x v="1"/>
    <s v="Laptop 15&quot;"/>
    <n v="1"/>
    <n v="6051"/>
    <s v="10%"/>
    <n v="5445.9"/>
    <x v="4"/>
    <x v="1"/>
  </r>
  <r>
    <s v="TXN0132"/>
    <x v="107"/>
    <x v="2"/>
    <x v="6"/>
    <x v="2"/>
    <s v="Sofa Set"/>
    <n v="5"/>
    <n v="90235"/>
    <s v="5%"/>
    <n v="428616.25"/>
    <x v="3"/>
    <x v="0"/>
  </r>
  <r>
    <s v="TXN0133"/>
    <x v="108"/>
    <x v="0"/>
    <x v="2"/>
    <x v="0"/>
    <s v="Jeans"/>
    <n v="13"/>
    <n v="76523"/>
    <s v="10%"/>
    <n v="895319.1"/>
    <x v="1"/>
    <x v="1"/>
  </r>
  <r>
    <s v="TXN0134"/>
    <x v="109"/>
    <x v="0"/>
    <x v="2"/>
    <x v="0"/>
    <s v="Men T-Shirt"/>
    <n v="13"/>
    <n v="20019"/>
    <s v="10%"/>
    <n v="234222.3"/>
    <x v="6"/>
    <x v="2"/>
  </r>
  <r>
    <s v="TXN0135"/>
    <x v="110"/>
    <x v="2"/>
    <x v="7"/>
    <x v="1"/>
    <s v="Smart TV 42&quot;"/>
    <n v="19"/>
    <n v="89672"/>
    <s v="0%"/>
    <n v="1703768"/>
    <x v="1"/>
    <x v="1"/>
  </r>
  <r>
    <s v="TXN0136"/>
    <x v="111"/>
    <x v="1"/>
    <x v="1"/>
    <x v="3"/>
    <s v="Sugar 10kg"/>
    <n v="19"/>
    <n v="31251"/>
    <s v="10%"/>
    <n v="534392.1"/>
    <x v="6"/>
    <x v="1"/>
  </r>
  <r>
    <s v="TXN0137"/>
    <x v="105"/>
    <x v="2"/>
    <x v="4"/>
    <x v="1"/>
    <s v="Smartphone"/>
    <n v="23"/>
    <n v="28945"/>
    <s v="5%"/>
    <n v="632448.25"/>
    <x v="0"/>
    <x v="1"/>
  </r>
  <r>
    <s v="TXN0138"/>
    <x v="112"/>
    <x v="2"/>
    <x v="6"/>
    <x v="2"/>
    <s v="Bookshelf"/>
    <n v="21"/>
    <n v="8949"/>
    <s v="0%"/>
    <n v="187929"/>
    <x v="7"/>
    <x v="1"/>
  </r>
  <r>
    <s v="TXN0139"/>
    <x v="113"/>
    <x v="0"/>
    <x v="5"/>
    <x v="1"/>
    <s v="Smartphone"/>
    <n v="9"/>
    <n v="103235"/>
    <s v="10%"/>
    <n v="836203.5"/>
    <x v="2"/>
    <x v="0"/>
  </r>
  <r>
    <s v="TXN0140"/>
    <x v="114"/>
    <x v="0"/>
    <x v="5"/>
    <x v="1"/>
    <s v="Laptop 15&quot;"/>
    <n v="1"/>
    <n v="133798"/>
    <s v="10%"/>
    <n v="120418.2"/>
    <x v="6"/>
    <x v="1"/>
  </r>
  <r>
    <s v="TXN0141"/>
    <x v="115"/>
    <x v="1"/>
    <x v="1"/>
    <x v="2"/>
    <s v="Wooden Table"/>
    <n v="22"/>
    <n v="23056"/>
    <s v="5%"/>
    <n v="481870.4"/>
    <x v="5"/>
    <x v="1"/>
  </r>
  <r>
    <s v="TXN0142"/>
    <x v="23"/>
    <x v="1"/>
    <x v="8"/>
    <x v="1"/>
    <s v="Bluetooth Speaker"/>
    <n v="21"/>
    <n v="114488"/>
    <s v="10%"/>
    <n v="2163823.2"/>
    <x v="5"/>
    <x v="1"/>
  </r>
  <r>
    <s v="TXN0143"/>
    <x v="116"/>
    <x v="1"/>
    <x v="3"/>
    <x v="0"/>
    <s v="Shoes"/>
    <n v="7"/>
    <n v="32375"/>
    <s v="5%"/>
    <n v="215293.75"/>
    <x v="3"/>
    <x v="0"/>
  </r>
  <r>
    <s v="TXN0144"/>
    <x v="117"/>
    <x v="1"/>
    <x v="1"/>
    <x v="0"/>
    <s v="Jacket"/>
    <n v="22"/>
    <n v="70215"/>
    <s v="5%"/>
    <n v="1467493.5"/>
    <x v="5"/>
    <x v="1"/>
  </r>
  <r>
    <s v="TXN0145"/>
    <x v="118"/>
    <x v="2"/>
    <x v="4"/>
    <x v="2"/>
    <s v="Bookshelf"/>
    <n v="14"/>
    <n v="12435"/>
    <s v="10%"/>
    <n v="156681"/>
    <x v="5"/>
    <x v="0"/>
  </r>
  <r>
    <s v="TXN0146"/>
    <x v="117"/>
    <x v="2"/>
    <x v="7"/>
    <x v="1"/>
    <s v="Bluetooth Speaker"/>
    <n v="15"/>
    <n v="81832"/>
    <s v="5%"/>
    <n v="1166106"/>
    <x v="0"/>
    <x v="2"/>
  </r>
  <r>
    <s v="TXN0147"/>
    <x v="119"/>
    <x v="1"/>
    <x v="8"/>
    <x v="3"/>
    <s v="Sugar 10kg"/>
    <n v="14"/>
    <n v="81781"/>
    <s v="5%"/>
    <n v="1087687.3"/>
    <x v="1"/>
    <x v="0"/>
  </r>
  <r>
    <s v="TXN0148"/>
    <x v="120"/>
    <x v="2"/>
    <x v="6"/>
    <x v="0"/>
    <s v="Women Dress"/>
    <n v="16"/>
    <n v="124172"/>
    <s v="10%"/>
    <n v="1788076.8"/>
    <x v="6"/>
    <x v="2"/>
  </r>
  <r>
    <s v="TXN0149"/>
    <x v="121"/>
    <x v="1"/>
    <x v="3"/>
    <x v="3"/>
    <s v="Cooking Oil 5L"/>
    <n v="4"/>
    <n v="59573"/>
    <s v="5%"/>
    <n v="226377.4"/>
    <x v="6"/>
    <x v="2"/>
  </r>
  <r>
    <s v="TXN0150"/>
    <x v="122"/>
    <x v="1"/>
    <x v="8"/>
    <x v="2"/>
    <s v="Wooden Table"/>
    <n v="5"/>
    <n v="29646"/>
    <s v="5%"/>
    <n v="140818.5"/>
    <x v="2"/>
    <x v="0"/>
  </r>
  <r>
    <s v="TXN0151"/>
    <x v="123"/>
    <x v="2"/>
    <x v="7"/>
    <x v="1"/>
    <s v="Smart TV 42&quot;"/>
    <n v="10"/>
    <n v="101116"/>
    <s v="10%"/>
    <n v="910044"/>
    <x v="7"/>
    <x v="0"/>
  </r>
  <r>
    <s v="TXN0152"/>
    <x v="124"/>
    <x v="1"/>
    <x v="3"/>
    <x v="2"/>
    <s v="Wardrobe"/>
    <n v="2"/>
    <n v="129131"/>
    <s v="10%"/>
    <n v="232435.8"/>
    <x v="5"/>
    <x v="0"/>
  </r>
  <r>
    <s v="TXN0153"/>
    <x v="125"/>
    <x v="1"/>
    <x v="1"/>
    <x v="0"/>
    <s v="Shoes"/>
    <n v="10"/>
    <n v="26289"/>
    <s v="0%"/>
    <n v="262890"/>
    <x v="4"/>
    <x v="2"/>
  </r>
  <r>
    <s v="TXN0154"/>
    <x v="66"/>
    <x v="2"/>
    <x v="6"/>
    <x v="3"/>
    <s v="Sugar 10kg"/>
    <n v="1"/>
    <n v="44975"/>
    <s v="5%"/>
    <n v="42726.25"/>
    <x v="5"/>
    <x v="0"/>
  </r>
  <r>
    <s v="TXN0155"/>
    <x v="126"/>
    <x v="2"/>
    <x v="4"/>
    <x v="2"/>
    <s v="Wooden Table"/>
    <n v="13"/>
    <n v="138683"/>
    <s v="0%"/>
    <n v="1802879"/>
    <x v="2"/>
    <x v="1"/>
  </r>
  <r>
    <s v="TXN0156"/>
    <x v="127"/>
    <x v="0"/>
    <x v="5"/>
    <x v="2"/>
    <s v="Bookshelf"/>
    <n v="24"/>
    <n v="107182"/>
    <s v="0%"/>
    <n v="2572368"/>
    <x v="7"/>
    <x v="0"/>
  </r>
  <r>
    <s v="TXN0157"/>
    <x v="6"/>
    <x v="1"/>
    <x v="1"/>
    <x v="2"/>
    <s v="Wooden Table"/>
    <n v="17"/>
    <n v="52115"/>
    <s v="10%"/>
    <n v="797359.5"/>
    <x v="2"/>
    <x v="1"/>
  </r>
  <r>
    <s v="TXN0158"/>
    <x v="52"/>
    <x v="1"/>
    <x v="8"/>
    <x v="1"/>
    <s v="Smartphone"/>
    <n v="20"/>
    <n v="14938"/>
    <s v="10%"/>
    <n v="268884"/>
    <x v="4"/>
    <x v="0"/>
  </r>
  <r>
    <s v="TXN0159"/>
    <x v="34"/>
    <x v="2"/>
    <x v="4"/>
    <x v="2"/>
    <s v="Wardrobe"/>
    <n v="1"/>
    <n v="104042"/>
    <s v="0%"/>
    <n v="104042"/>
    <x v="2"/>
    <x v="1"/>
  </r>
  <r>
    <s v="TXN0160"/>
    <x v="106"/>
    <x v="0"/>
    <x v="5"/>
    <x v="2"/>
    <s v="Wooden Table"/>
    <n v="12"/>
    <n v="41304"/>
    <s v="10%"/>
    <n v="446083.2"/>
    <x v="0"/>
    <x v="1"/>
  </r>
  <r>
    <s v="TXN0161"/>
    <x v="128"/>
    <x v="2"/>
    <x v="6"/>
    <x v="2"/>
    <s v="Sofa Set"/>
    <n v="10"/>
    <n v="85986"/>
    <s v="10%"/>
    <n v="773874"/>
    <x v="6"/>
    <x v="0"/>
  </r>
  <r>
    <s v="TXN0162"/>
    <x v="129"/>
    <x v="2"/>
    <x v="6"/>
    <x v="0"/>
    <s v="Shoes"/>
    <n v="13"/>
    <n v="41494"/>
    <s v="5%"/>
    <n v="512450.9"/>
    <x v="2"/>
    <x v="2"/>
  </r>
  <r>
    <s v="TXN0163"/>
    <x v="92"/>
    <x v="2"/>
    <x v="7"/>
    <x v="3"/>
    <s v="Rice 25kg"/>
    <n v="2"/>
    <n v="100532"/>
    <s v="0%"/>
    <n v="201064"/>
    <x v="7"/>
    <x v="2"/>
  </r>
  <r>
    <s v="TXN0164"/>
    <x v="130"/>
    <x v="1"/>
    <x v="3"/>
    <x v="1"/>
    <s v="Laptop 15&quot;"/>
    <n v="3"/>
    <n v="30350"/>
    <s v="5%"/>
    <n v="86497.5"/>
    <x v="4"/>
    <x v="2"/>
  </r>
  <r>
    <s v="TXN0165"/>
    <x v="131"/>
    <x v="0"/>
    <x v="2"/>
    <x v="3"/>
    <s v="Cooking Oil 5L"/>
    <n v="8"/>
    <n v="91668"/>
    <s v="10%"/>
    <n v="660009.6"/>
    <x v="6"/>
    <x v="0"/>
  </r>
  <r>
    <s v="TXN0166"/>
    <x v="132"/>
    <x v="2"/>
    <x v="4"/>
    <x v="2"/>
    <s v="Bookshelf"/>
    <n v="2"/>
    <n v="60458"/>
    <s v="10%"/>
    <n v="108824.4"/>
    <x v="6"/>
    <x v="1"/>
  </r>
  <r>
    <s v="TXN0167"/>
    <x v="133"/>
    <x v="1"/>
    <x v="8"/>
    <x v="2"/>
    <s v="Wardrobe"/>
    <n v="7"/>
    <n v="6267"/>
    <s v="0%"/>
    <n v="43869"/>
    <x v="1"/>
    <x v="2"/>
  </r>
  <r>
    <s v="TXN0168"/>
    <x v="134"/>
    <x v="2"/>
    <x v="4"/>
    <x v="3"/>
    <s v="Cooking Oil 5L"/>
    <n v="21"/>
    <n v="41513"/>
    <s v="5%"/>
    <n v="828184.35"/>
    <x v="5"/>
    <x v="1"/>
  </r>
  <r>
    <s v="TXN0169"/>
    <x v="135"/>
    <x v="2"/>
    <x v="7"/>
    <x v="0"/>
    <s v="Jacket"/>
    <n v="24"/>
    <n v="108891"/>
    <s v="10%"/>
    <n v="2352045.6"/>
    <x v="6"/>
    <x v="1"/>
  </r>
  <r>
    <s v="TXN0170"/>
    <x v="25"/>
    <x v="1"/>
    <x v="1"/>
    <x v="0"/>
    <s v="Jeans"/>
    <n v="21"/>
    <n v="47425"/>
    <s v="10%"/>
    <n v="896332.5"/>
    <x v="4"/>
    <x v="1"/>
  </r>
  <r>
    <s v="TXN0171"/>
    <x v="136"/>
    <x v="0"/>
    <x v="0"/>
    <x v="2"/>
    <s v="Bookshelf"/>
    <n v="9"/>
    <n v="50295"/>
    <s v="0%"/>
    <n v="452655"/>
    <x v="2"/>
    <x v="1"/>
  </r>
  <r>
    <s v="TXN0172"/>
    <x v="137"/>
    <x v="2"/>
    <x v="6"/>
    <x v="1"/>
    <s v="Smartphone"/>
    <n v="17"/>
    <n v="86042"/>
    <s v="0%"/>
    <n v="1462714"/>
    <x v="4"/>
    <x v="1"/>
  </r>
  <r>
    <s v="TXN0173"/>
    <x v="138"/>
    <x v="1"/>
    <x v="8"/>
    <x v="3"/>
    <s v="Rice 25kg"/>
    <n v="18"/>
    <n v="73640"/>
    <s v="10%"/>
    <n v="1192968"/>
    <x v="5"/>
    <x v="1"/>
  </r>
  <r>
    <s v="TXN0174"/>
    <x v="139"/>
    <x v="1"/>
    <x v="8"/>
    <x v="3"/>
    <s v="Cooking Oil 5L"/>
    <n v="24"/>
    <n v="141429"/>
    <s v="0%"/>
    <n v="3394296"/>
    <x v="0"/>
    <x v="1"/>
  </r>
  <r>
    <s v="TXN0175"/>
    <x v="57"/>
    <x v="1"/>
    <x v="1"/>
    <x v="3"/>
    <s v="Rice 25kg"/>
    <n v="5"/>
    <n v="47811"/>
    <s v="0%"/>
    <n v="239055"/>
    <x v="1"/>
    <x v="2"/>
  </r>
  <r>
    <s v="TXN0176"/>
    <x v="140"/>
    <x v="1"/>
    <x v="8"/>
    <x v="1"/>
    <s v="Bluetooth Speaker"/>
    <n v="13"/>
    <n v="115856"/>
    <s v="5%"/>
    <n v="1430821.6"/>
    <x v="6"/>
    <x v="2"/>
  </r>
  <r>
    <s v="TXN0177"/>
    <x v="141"/>
    <x v="0"/>
    <x v="0"/>
    <x v="1"/>
    <s v="Laptop 15&quot;"/>
    <n v="9"/>
    <n v="114888"/>
    <s v="5%"/>
    <n v="982292.4"/>
    <x v="0"/>
    <x v="1"/>
  </r>
  <r>
    <s v="TXN0178"/>
    <x v="35"/>
    <x v="2"/>
    <x v="7"/>
    <x v="3"/>
    <s v="Beverage Tin"/>
    <n v="20"/>
    <n v="134800"/>
    <s v="5%"/>
    <n v="2561200"/>
    <x v="5"/>
    <x v="0"/>
  </r>
  <r>
    <s v="TXN0179"/>
    <x v="103"/>
    <x v="0"/>
    <x v="0"/>
    <x v="2"/>
    <s v="Sofa Set"/>
    <n v="13"/>
    <n v="69234"/>
    <s v="10%"/>
    <n v="810037.8"/>
    <x v="1"/>
    <x v="0"/>
  </r>
  <r>
    <s v="TXN0180"/>
    <x v="142"/>
    <x v="0"/>
    <x v="5"/>
    <x v="0"/>
    <s v="Shoes"/>
    <n v="17"/>
    <n v="82459"/>
    <s v="0%"/>
    <n v="1401803"/>
    <x v="6"/>
    <x v="2"/>
  </r>
  <r>
    <s v="TXN0181"/>
    <x v="49"/>
    <x v="0"/>
    <x v="0"/>
    <x v="3"/>
    <s v="Sugar 10kg"/>
    <n v="19"/>
    <n v="62163"/>
    <s v="10%"/>
    <n v="1062987.3"/>
    <x v="6"/>
    <x v="0"/>
  </r>
  <r>
    <s v="TXN0182"/>
    <x v="18"/>
    <x v="2"/>
    <x v="6"/>
    <x v="2"/>
    <s v="Office Chair"/>
    <n v="20"/>
    <n v="57098"/>
    <s v="5%"/>
    <n v="1084862"/>
    <x v="1"/>
    <x v="0"/>
  </r>
  <r>
    <s v="TXN0183"/>
    <x v="109"/>
    <x v="2"/>
    <x v="6"/>
    <x v="1"/>
    <s v="Laptop 15&quot;"/>
    <n v="21"/>
    <n v="129020"/>
    <s v="5%"/>
    <n v="2573949"/>
    <x v="7"/>
    <x v="0"/>
  </r>
  <r>
    <s v="TXN0184"/>
    <x v="36"/>
    <x v="0"/>
    <x v="0"/>
    <x v="3"/>
    <s v="Milk Powder 2kg"/>
    <n v="12"/>
    <n v="145202"/>
    <s v="10%"/>
    <n v="1568181.6"/>
    <x v="1"/>
    <x v="0"/>
  </r>
  <r>
    <s v="TXN0185"/>
    <x v="24"/>
    <x v="0"/>
    <x v="5"/>
    <x v="0"/>
    <s v="Jeans"/>
    <n v="23"/>
    <n v="30192"/>
    <s v="5%"/>
    <n v="659695.2"/>
    <x v="2"/>
    <x v="0"/>
  </r>
  <r>
    <s v="TXN0186"/>
    <x v="121"/>
    <x v="1"/>
    <x v="1"/>
    <x v="0"/>
    <s v="Jeans"/>
    <n v="13"/>
    <n v="92780"/>
    <s v="5%"/>
    <n v="1145833"/>
    <x v="1"/>
    <x v="1"/>
  </r>
  <r>
    <s v="TXN0187"/>
    <x v="143"/>
    <x v="2"/>
    <x v="4"/>
    <x v="2"/>
    <s v="Sofa Set"/>
    <n v="7"/>
    <n v="91461"/>
    <s v="5%"/>
    <n v="608215.65"/>
    <x v="6"/>
    <x v="0"/>
  </r>
  <r>
    <s v="TXN0188"/>
    <x v="125"/>
    <x v="1"/>
    <x v="3"/>
    <x v="0"/>
    <s v="Women Dress"/>
    <n v="5"/>
    <n v="41102"/>
    <s v="5%"/>
    <n v="195234.5"/>
    <x v="6"/>
    <x v="0"/>
  </r>
  <r>
    <s v="TXN0189"/>
    <x v="144"/>
    <x v="0"/>
    <x v="5"/>
    <x v="1"/>
    <s v="Laptop 15&quot;"/>
    <n v="11"/>
    <n v="92930"/>
    <s v="5%"/>
    <n v="971118.5"/>
    <x v="7"/>
    <x v="1"/>
  </r>
  <r>
    <s v="TXN0190"/>
    <x v="145"/>
    <x v="0"/>
    <x v="5"/>
    <x v="3"/>
    <s v="Milk Powder 2kg"/>
    <n v="15"/>
    <n v="4542"/>
    <s v="10%"/>
    <n v="61317"/>
    <x v="0"/>
    <x v="2"/>
  </r>
  <r>
    <s v="TXN0191"/>
    <x v="146"/>
    <x v="0"/>
    <x v="0"/>
    <x v="3"/>
    <s v="Rice 25kg"/>
    <n v="13"/>
    <n v="42081"/>
    <s v="5%"/>
    <n v="519700.35"/>
    <x v="7"/>
    <x v="1"/>
  </r>
  <r>
    <s v="TXN0192"/>
    <x v="39"/>
    <x v="1"/>
    <x v="8"/>
    <x v="2"/>
    <s v="Sofa Set"/>
    <n v="2"/>
    <n v="91092"/>
    <s v="0%"/>
    <n v="182184"/>
    <x v="7"/>
    <x v="2"/>
  </r>
  <r>
    <s v="TXN0193"/>
    <x v="147"/>
    <x v="0"/>
    <x v="2"/>
    <x v="3"/>
    <s v="Milk Powder 2kg"/>
    <n v="6"/>
    <n v="29962"/>
    <s v="5%"/>
    <n v="170783.4"/>
    <x v="3"/>
    <x v="2"/>
  </r>
  <r>
    <s v="TXN0194"/>
    <x v="148"/>
    <x v="2"/>
    <x v="6"/>
    <x v="3"/>
    <s v="Sugar 10kg"/>
    <n v="16"/>
    <n v="135396"/>
    <s v="0%"/>
    <n v="2166336"/>
    <x v="7"/>
    <x v="0"/>
  </r>
  <r>
    <s v="TXN0195"/>
    <x v="149"/>
    <x v="2"/>
    <x v="4"/>
    <x v="3"/>
    <s v="Cooking Oil 5L"/>
    <n v="4"/>
    <n v="22870"/>
    <s v="0%"/>
    <n v="91480"/>
    <x v="1"/>
    <x v="1"/>
  </r>
  <r>
    <s v="TXN0196"/>
    <x v="150"/>
    <x v="0"/>
    <x v="0"/>
    <x v="3"/>
    <s v="Cooking Oil 5L"/>
    <n v="12"/>
    <n v="29790"/>
    <s v="0%"/>
    <n v="357480"/>
    <x v="7"/>
    <x v="0"/>
  </r>
  <r>
    <s v="TXN0197"/>
    <x v="151"/>
    <x v="2"/>
    <x v="7"/>
    <x v="2"/>
    <s v="Wardrobe"/>
    <n v="10"/>
    <n v="18485"/>
    <s v="5%"/>
    <n v="175607.5"/>
    <x v="5"/>
    <x v="2"/>
  </r>
  <r>
    <s v="TXN0198"/>
    <x v="100"/>
    <x v="0"/>
    <x v="5"/>
    <x v="0"/>
    <s v="Women Dress"/>
    <n v="13"/>
    <n v="143507"/>
    <s v="10%"/>
    <n v="1679031.9"/>
    <x v="2"/>
    <x v="1"/>
  </r>
  <r>
    <s v="TXN0199"/>
    <x v="58"/>
    <x v="1"/>
    <x v="1"/>
    <x v="1"/>
    <s v="Bluetooth Speaker"/>
    <n v="20"/>
    <n v="147188"/>
    <s v="10%"/>
    <n v="2649384"/>
    <x v="5"/>
    <x v="0"/>
  </r>
  <r>
    <s v="TXN0200"/>
    <x v="152"/>
    <x v="0"/>
    <x v="5"/>
    <x v="1"/>
    <s v="Smart TV 42&quot;"/>
    <n v="7"/>
    <n v="55224"/>
    <s v="5%"/>
    <n v="367239.6"/>
    <x v="2"/>
    <x v="0"/>
  </r>
  <r>
    <s v="TXN0201"/>
    <x v="47"/>
    <x v="1"/>
    <x v="8"/>
    <x v="3"/>
    <s v="Sugar 10kg"/>
    <n v="17"/>
    <n v="26960"/>
    <s v="10%"/>
    <n v="412488"/>
    <x v="6"/>
    <x v="2"/>
  </r>
  <r>
    <s v="TXN0202"/>
    <x v="153"/>
    <x v="0"/>
    <x v="5"/>
    <x v="0"/>
    <s v="Shoes"/>
    <n v="1"/>
    <n v="106333"/>
    <s v="0%"/>
    <n v="106333"/>
    <x v="6"/>
    <x v="0"/>
  </r>
  <r>
    <s v="TXN0203"/>
    <x v="154"/>
    <x v="0"/>
    <x v="0"/>
    <x v="0"/>
    <s v="Men T-Shirt"/>
    <n v="6"/>
    <n v="39395"/>
    <s v="5%"/>
    <n v="224551.5"/>
    <x v="0"/>
    <x v="1"/>
  </r>
  <r>
    <s v="TXN0204"/>
    <x v="100"/>
    <x v="2"/>
    <x v="6"/>
    <x v="1"/>
    <s v="Smart TV 42&quot;"/>
    <n v="13"/>
    <n v="37620"/>
    <s v="5%"/>
    <n v="464607"/>
    <x v="1"/>
    <x v="0"/>
  </r>
  <r>
    <s v="TXN0205"/>
    <x v="155"/>
    <x v="1"/>
    <x v="1"/>
    <x v="0"/>
    <s v="Jeans"/>
    <n v="21"/>
    <n v="23559"/>
    <s v="5%"/>
    <n v="470002.05"/>
    <x v="5"/>
    <x v="1"/>
  </r>
  <r>
    <s v="TXN0206"/>
    <x v="156"/>
    <x v="1"/>
    <x v="8"/>
    <x v="1"/>
    <s v="Laptop 15&quot;"/>
    <n v="11"/>
    <n v="24732"/>
    <s v="10%"/>
    <n v="244846.8"/>
    <x v="4"/>
    <x v="1"/>
  </r>
  <r>
    <s v="TXN0207"/>
    <x v="157"/>
    <x v="0"/>
    <x v="0"/>
    <x v="2"/>
    <s v="Office Chair"/>
    <n v="3"/>
    <n v="16843"/>
    <s v="10%"/>
    <n v="45476.1"/>
    <x v="0"/>
    <x v="0"/>
  </r>
  <r>
    <s v="TXN0208"/>
    <x v="158"/>
    <x v="1"/>
    <x v="1"/>
    <x v="3"/>
    <s v="Rice 25kg"/>
    <n v="9"/>
    <n v="55528"/>
    <s v="10%"/>
    <n v="449776.8"/>
    <x v="3"/>
    <x v="0"/>
  </r>
  <r>
    <s v="TXN0209"/>
    <x v="159"/>
    <x v="0"/>
    <x v="2"/>
    <x v="0"/>
    <s v="Shoes"/>
    <n v="15"/>
    <n v="55638"/>
    <s v="0%"/>
    <n v="834570"/>
    <x v="7"/>
    <x v="1"/>
  </r>
  <r>
    <s v="TXN0210"/>
    <x v="160"/>
    <x v="1"/>
    <x v="3"/>
    <x v="3"/>
    <s v="Cooking Oil 5L"/>
    <n v="21"/>
    <n v="113133"/>
    <s v="0%"/>
    <n v="2375793"/>
    <x v="3"/>
    <x v="1"/>
  </r>
  <r>
    <s v="TXN0211"/>
    <x v="161"/>
    <x v="0"/>
    <x v="2"/>
    <x v="1"/>
    <s v="Laptop 15&quot;"/>
    <n v="16"/>
    <n v="141186"/>
    <s v="5%"/>
    <n v="2146027.2"/>
    <x v="4"/>
    <x v="0"/>
  </r>
  <r>
    <s v="TXN0212"/>
    <x v="162"/>
    <x v="2"/>
    <x v="6"/>
    <x v="3"/>
    <s v="Beverage Tin"/>
    <n v="10"/>
    <n v="145047"/>
    <s v="10%"/>
    <n v="1305423"/>
    <x v="0"/>
    <x v="1"/>
  </r>
  <r>
    <s v="TXN0213"/>
    <x v="116"/>
    <x v="2"/>
    <x v="6"/>
    <x v="1"/>
    <s v="Smart TV 42&quot;"/>
    <n v="8"/>
    <n v="128899"/>
    <s v="0%"/>
    <n v="1031192"/>
    <x v="7"/>
    <x v="2"/>
  </r>
  <r>
    <s v="TXN0214"/>
    <x v="163"/>
    <x v="1"/>
    <x v="3"/>
    <x v="0"/>
    <s v="Women Dress"/>
    <n v="21"/>
    <n v="12337"/>
    <s v="0%"/>
    <n v="259077"/>
    <x v="1"/>
    <x v="2"/>
  </r>
  <r>
    <s v="TXN0215"/>
    <x v="47"/>
    <x v="0"/>
    <x v="2"/>
    <x v="1"/>
    <s v="Headphones"/>
    <n v="4"/>
    <n v="64529"/>
    <s v="5%"/>
    <n v="245210.2"/>
    <x v="2"/>
    <x v="2"/>
  </r>
  <r>
    <s v="TXN0216"/>
    <x v="148"/>
    <x v="2"/>
    <x v="7"/>
    <x v="0"/>
    <s v="Jacket"/>
    <n v="18"/>
    <n v="36307"/>
    <s v="10%"/>
    <n v="588173.4"/>
    <x v="3"/>
    <x v="0"/>
  </r>
  <r>
    <s v="TXN0217"/>
    <x v="164"/>
    <x v="1"/>
    <x v="8"/>
    <x v="2"/>
    <s v="Wardrobe"/>
    <n v="5"/>
    <n v="130016"/>
    <s v="5%"/>
    <n v="617576"/>
    <x v="1"/>
    <x v="2"/>
  </r>
  <r>
    <s v="TXN0218"/>
    <x v="165"/>
    <x v="0"/>
    <x v="5"/>
    <x v="1"/>
    <s v="Bluetooth Speaker"/>
    <n v="22"/>
    <n v="124790"/>
    <s v="10%"/>
    <n v="2470842"/>
    <x v="2"/>
    <x v="2"/>
  </r>
  <r>
    <s v="TXN0219"/>
    <x v="166"/>
    <x v="1"/>
    <x v="1"/>
    <x v="3"/>
    <s v="Rice 25kg"/>
    <n v="9"/>
    <n v="81752"/>
    <s v="0%"/>
    <n v="735768"/>
    <x v="2"/>
    <x v="2"/>
  </r>
  <r>
    <s v="TXN0220"/>
    <x v="167"/>
    <x v="0"/>
    <x v="2"/>
    <x v="3"/>
    <s v="Beverage Tin"/>
    <n v="13"/>
    <n v="100007"/>
    <s v="0%"/>
    <n v="1300091"/>
    <x v="6"/>
    <x v="1"/>
  </r>
  <r>
    <s v="TXN0221"/>
    <x v="168"/>
    <x v="2"/>
    <x v="6"/>
    <x v="1"/>
    <s v="Smartphone"/>
    <n v="3"/>
    <n v="121012"/>
    <s v="10%"/>
    <n v="326732.4"/>
    <x v="7"/>
    <x v="0"/>
  </r>
  <r>
    <s v="TXN0222"/>
    <x v="169"/>
    <x v="0"/>
    <x v="2"/>
    <x v="2"/>
    <s v="Wooden Table"/>
    <n v="19"/>
    <n v="52407"/>
    <s v="0%"/>
    <n v="995733"/>
    <x v="1"/>
    <x v="0"/>
  </r>
  <r>
    <s v="TXN0223"/>
    <x v="170"/>
    <x v="0"/>
    <x v="2"/>
    <x v="1"/>
    <s v="Headphones"/>
    <n v="15"/>
    <n v="132473"/>
    <s v="0%"/>
    <n v="1987095"/>
    <x v="5"/>
    <x v="0"/>
  </r>
  <r>
    <s v="TXN0224"/>
    <x v="171"/>
    <x v="0"/>
    <x v="0"/>
    <x v="0"/>
    <s v="Shoes"/>
    <n v="24"/>
    <n v="61141"/>
    <s v="5%"/>
    <n v="1394014.8"/>
    <x v="3"/>
    <x v="2"/>
  </r>
  <r>
    <s v="TXN0225"/>
    <x v="130"/>
    <x v="1"/>
    <x v="8"/>
    <x v="1"/>
    <s v="Laptop 15&quot;"/>
    <n v="13"/>
    <n v="4015"/>
    <s v="5%"/>
    <n v="49585.25"/>
    <x v="4"/>
    <x v="1"/>
  </r>
  <r>
    <s v="TXN0226"/>
    <x v="172"/>
    <x v="0"/>
    <x v="0"/>
    <x v="3"/>
    <s v="Milk Powder 2kg"/>
    <n v="22"/>
    <n v="30712"/>
    <s v="0%"/>
    <n v="675664"/>
    <x v="4"/>
    <x v="1"/>
  </r>
  <r>
    <s v="TXN0227"/>
    <x v="145"/>
    <x v="0"/>
    <x v="0"/>
    <x v="0"/>
    <s v="Jeans"/>
    <n v="15"/>
    <n v="115816"/>
    <s v="5%"/>
    <n v="1650378"/>
    <x v="0"/>
    <x v="2"/>
  </r>
  <r>
    <s v="TXN0228"/>
    <x v="173"/>
    <x v="2"/>
    <x v="6"/>
    <x v="0"/>
    <s v="Women Dress"/>
    <n v="21"/>
    <n v="26833"/>
    <s v="10%"/>
    <n v="507143.7"/>
    <x v="1"/>
    <x v="2"/>
  </r>
  <r>
    <s v="TXN0229"/>
    <x v="29"/>
    <x v="0"/>
    <x v="5"/>
    <x v="0"/>
    <s v="Shoes"/>
    <n v="22"/>
    <n v="9970"/>
    <s v="10%"/>
    <n v="197406"/>
    <x v="4"/>
    <x v="0"/>
  </r>
  <r>
    <s v="TXN0230"/>
    <x v="39"/>
    <x v="1"/>
    <x v="3"/>
    <x v="1"/>
    <s v="Headphones"/>
    <n v="17"/>
    <n v="49540"/>
    <s v="5%"/>
    <n v="800071"/>
    <x v="3"/>
    <x v="2"/>
  </r>
  <r>
    <s v="TXN0231"/>
    <x v="61"/>
    <x v="0"/>
    <x v="2"/>
    <x v="2"/>
    <s v="Bookshelf"/>
    <n v="9"/>
    <n v="108570"/>
    <s v="10%"/>
    <n v="879417"/>
    <x v="7"/>
    <x v="1"/>
  </r>
  <r>
    <s v="TXN0232"/>
    <x v="174"/>
    <x v="2"/>
    <x v="4"/>
    <x v="1"/>
    <s v="Laptop 15&quot;"/>
    <n v="6"/>
    <n v="15763"/>
    <s v="5%"/>
    <n v="89849.10000000001"/>
    <x v="3"/>
    <x v="2"/>
  </r>
  <r>
    <s v="TXN0233"/>
    <x v="170"/>
    <x v="2"/>
    <x v="4"/>
    <x v="2"/>
    <s v="Wooden Table"/>
    <n v="5"/>
    <n v="83642"/>
    <s v="0%"/>
    <n v="418210"/>
    <x v="7"/>
    <x v="0"/>
  </r>
  <r>
    <s v="TXN0234"/>
    <x v="175"/>
    <x v="0"/>
    <x v="2"/>
    <x v="3"/>
    <s v="Milk Powder 2kg"/>
    <n v="5"/>
    <n v="13916"/>
    <s v="10%"/>
    <n v="62622"/>
    <x v="5"/>
    <x v="0"/>
  </r>
  <r>
    <s v="TXN0235"/>
    <x v="176"/>
    <x v="0"/>
    <x v="5"/>
    <x v="1"/>
    <s v="Smartphone"/>
    <n v="10"/>
    <n v="147528"/>
    <s v="5%"/>
    <n v="1401516"/>
    <x v="3"/>
    <x v="0"/>
  </r>
  <r>
    <s v="TXN0236"/>
    <x v="177"/>
    <x v="0"/>
    <x v="5"/>
    <x v="1"/>
    <s v="Bluetooth Speaker"/>
    <n v="14"/>
    <n v="124288"/>
    <s v="5%"/>
    <n v="1653030.4"/>
    <x v="4"/>
    <x v="0"/>
  </r>
  <r>
    <s v="TXN0237"/>
    <x v="160"/>
    <x v="2"/>
    <x v="7"/>
    <x v="1"/>
    <s v="Laptop 15&quot;"/>
    <n v="19"/>
    <n v="56932"/>
    <s v="0%"/>
    <n v="1081708"/>
    <x v="2"/>
    <x v="2"/>
  </r>
  <r>
    <s v="TXN0238"/>
    <x v="178"/>
    <x v="2"/>
    <x v="6"/>
    <x v="0"/>
    <s v="Jacket"/>
    <n v="4"/>
    <n v="24949"/>
    <s v="0%"/>
    <n v="99796"/>
    <x v="0"/>
    <x v="2"/>
  </r>
  <r>
    <s v="TXN0239"/>
    <x v="179"/>
    <x v="0"/>
    <x v="0"/>
    <x v="3"/>
    <s v="Rice 25kg"/>
    <n v="2"/>
    <n v="39187"/>
    <s v="5%"/>
    <n v="74455.3"/>
    <x v="5"/>
    <x v="1"/>
  </r>
  <r>
    <s v="TXN0240"/>
    <x v="180"/>
    <x v="2"/>
    <x v="7"/>
    <x v="1"/>
    <s v="Laptop 15&quot;"/>
    <n v="8"/>
    <n v="127454"/>
    <s v="0%"/>
    <n v="1019632"/>
    <x v="7"/>
    <x v="2"/>
  </r>
  <r>
    <s v="TXN0241"/>
    <x v="181"/>
    <x v="0"/>
    <x v="2"/>
    <x v="1"/>
    <s v="Smart TV 42&quot;"/>
    <n v="2"/>
    <n v="64877"/>
    <s v="0%"/>
    <n v="129754"/>
    <x v="0"/>
    <x v="1"/>
  </r>
  <r>
    <s v="TXN0242"/>
    <x v="182"/>
    <x v="2"/>
    <x v="7"/>
    <x v="3"/>
    <s v="Rice 25kg"/>
    <n v="3"/>
    <n v="97074"/>
    <s v="5%"/>
    <n v="276660.9"/>
    <x v="4"/>
    <x v="1"/>
  </r>
  <r>
    <s v="TXN0243"/>
    <x v="183"/>
    <x v="0"/>
    <x v="5"/>
    <x v="0"/>
    <s v="Women Dress"/>
    <n v="12"/>
    <n v="118765"/>
    <s v="0%"/>
    <n v="1425180"/>
    <x v="2"/>
    <x v="1"/>
  </r>
  <r>
    <s v="TXN0244"/>
    <x v="184"/>
    <x v="2"/>
    <x v="7"/>
    <x v="2"/>
    <s v="Wooden Table"/>
    <n v="5"/>
    <n v="128917"/>
    <s v="5%"/>
    <n v="612355.75"/>
    <x v="5"/>
    <x v="1"/>
  </r>
  <r>
    <s v="TXN0245"/>
    <x v="122"/>
    <x v="2"/>
    <x v="4"/>
    <x v="1"/>
    <s v="Smart TV 42&quot;"/>
    <n v="17"/>
    <n v="22198"/>
    <s v="10%"/>
    <n v="339629.4"/>
    <x v="1"/>
    <x v="0"/>
  </r>
  <r>
    <s v="TXN0246"/>
    <x v="155"/>
    <x v="0"/>
    <x v="0"/>
    <x v="2"/>
    <s v="Office Chair"/>
    <n v="23"/>
    <n v="47238"/>
    <s v="10%"/>
    <n v="977826.6"/>
    <x v="1"/>
    <x v="1"/>
  </r>
  <r>
    <s v="TXN0247"/>
    <x v="112"/>
    <x v="2"/>
    <x v="4"/>
    <x v="0"/>
    <s v="Jacket"/>
    <n v="21"/>
    <n v="80709"/>
    <s v="0%"/>
    <n v="1694889"/>
    <x v="3"/>
    <x v="0"/>
  </r>
  <r>
    <s v="TXN0248"/>
    <x v="185"/>
    <x v="0"/>
    <x v="5"/>
    <x v="2"/>
    <s v="Office Chair"/>
    <n v="11"/>
    <n v="56682"/>
    <s v="10%"/>
    <n v="561151.8"/>
    <x v="7"/>
    <x v="0"/>
  </r>
  <r>
    <s v="TXN0249"/>
    <x v="0"/>
    <x v="0"/>
    <x v="5"/>
    <x v="1"/>
    <s v="Smartphone"/>
    <n v="6"/>
    <n v="68215"/>
    <s v="10%"/>
    <n v="368361"/>
    <x v="5"/>
    <x v="0"/>
  </r>
  <r>
    <s v="TXN0250"/>
    <x v="65"/>
    <x v="0"/>
    <x v="5"/>
    <x v="0"/>
    <s v="Men T-Shirt"/>
    <n v="2"/>
    <n v="9949"/>
    <s v="10%"/>
    <n v="17908.2"/>
    <x v="0"/>
    <x v="2"/>
  </r>
  <r>
    <s v="TXN0251"/>
    <x v="183"/>
    <x v="2"/>
    <x v="6"/>
    <x v="3"/>
    <s v="Cooking Oil 5L"/>
    <n v="2"/>
    <n v="141013"/>
    <s v="10%"/>
    <n v="253823.4"/>
    <x v="5"/>
    <x v="1"/>
  </r>
  <r>
    <s v="TXN0252"/>
    <x v="186"/>
    <x v="2"/>
    <x v="6"/>
    <x v="2"/>
    <s v="Office Chair"/>
    <n v="19"/>
    <n v="78745"/>
    <s v="10%"/>
    <n v="1346539.5"/>
    <x v="1"/>
    <x v="0"/>
  </r>
  <r>
    <s v="TXN0253"/>
    <x v="187"/>
    <x v="2"/>
    <x v="6"/>
    <x v="1"/>
    <s v="Smartphone"/>
    <n v="6"/>
    <n v="100239"/>
    <s v="5%"/>
    <n v="571362.3"/>
    <x v="4"/>
    <x v="2"/>
  </r>
  <r>
    <s v="TXN0254"/>
    <x v="186"/>
    <x v="1"/>
    <x v="3"/>
    <x v="2"/>
    <s v="Office Chair"/>
    <n v="23"/>
    <n v="46088"/>
    <s v="10%"/>
    <n v="954021.6"/>
    <x v="7"/>
    <x v="2"/>
  </r>
  <r>
    <s v="TXN0255"/>
    <x v="188"/>
    <x v="1"/>
    <x v="8"/>
    <x v="1"/>
    <s v="Headphones"/>
    <n v="4"/>
    <n v="58479"/>
    <s v="0%"/>
    <n v="233916"/>
    <x v="1"/>
    <x v="1"/>
  </r>
  <r>
    <s v="TXN0256"/>
    <x v="189"/>
    <x v="1"/>
    <x v="3"/>
    <x v="0"/>
    <s v="Women Dress"/>
    <n v="17"/>
    <n v="22963"/>
    <s v="10%"/>
    <n v="351333.9"/>
    <x v="6"/>
    <x v="1"/>
  </r>
  <r>
    <s v="TXN0257"/>
    <x v="16"/>
    <x v="1"/>
    <x v="1"/>
    <x v="2"/>
    <s v="Wardrobe"/>
    <n v="24"/>
    <n v="105468"/>
    <s v="10%"/>
    <n v="2278108.8"/>
    <x v="6"/>
    <x v="2"/>
  </r>
  <r>
    <s v="TXN0258"/>
    <x v="190"/>
    <x v="0"/>
    <x v="5"/>
    <x v="2"/>
    <s v="Sofa Set"/>
    <n v="6"/>
    <n v="17388"/>
    <s v="0%"/>
    <n v="104328"/>
    <x v="0"/>
    <x v="1"/>
  </r>
  <r>
    <s v="TXN0259"/>
    <x v="178"/>
    <x v="0"/>
    <x v="5"/>
    <x v="1"/>
    <s v="Laptop 15&quot;"/>
    <n v="11"/>
    <n v="146087"/>
    <s v="5%"/>
    <n v="1526609.15"/>
    <x v="1"/>
    <x v="0"/>
  </r>
  <r>
    <s v="TXN0260"/>
    <x v="191"/>
    <x v="0"/>
    <x v="2"/>
    <x v="0"/>
    <s v="Men T-Shirt"/>
    <n v="23"/>
    <n v="140162"/>
    <s v="10%"/>
    <n v="2901353.4"/>
    <x v="6"/>
    <x v="1"/>
  </r>
  <r>
    <s v="TXN0261"/>
    <x v="192"/>
    <x v="2"/>
    <x v="6"/>
    <x v="3"/>
    <s v="Beverage Tin"/>
    <n v="4"/>
    <n v="128827"/>
    <s v="10%"/>
    <n v="463777.2"/>
    <x v="5"/>
    <x v="0"/>
  </r>
  <r>
    <s v="TXN0262"/>
    <x v="193"/>
    <x v="1"/>
    <x v="3"/>
    <x v="2"/>
    <s v="Bookshelf"/>
    <n v="3"/>
    <n v="104570"/>
    <s v="10%"/>
    <n v="282339"/>
    <x v="6"/>
    <x v="0"/>
  </r>
  <r>
    <s v="TXN0263"/>
    <x v="96"/>
    <x v="1"/>
    <x v="8"/>
    <x v="2"/>
    <s v="Wardrobe"/>
    <n v="18"/>
    <n v="31732"/>
    <s v="5%"/>
    <n v="542617.2"/>
    <x v="0"/>
    <x v="2"/>
  </r>
  <r>
    <s v="TXN0264"/>
    <x v="3"/>
    <x v="0"/>
    <x v="5"/>
    <x v="0"/>
    <s v="Jeans"/>
    <n v="19"/>
    <n v="60108"/>
    <s v="0%"/>
    <n v="1142052"/>
    <x v="3"/>
    <x v="2"/>
  </r>
  <r>
    <s v="TXN0265"/>
    <x v="194"/>
    <x v="0"/>
    <x v="0"/>
    <x v="0"/>
    <s v="Men T-Shirt"/>
    <n v="18"/>
    <n v="114195"/>
    <s v="0%"/>
    <n v="2055510"/>
    <x v="1"/>
    <x v="0"/>
  </r>
  <r>
    <s v="TXN0266"/>
    <x v="98"/>
    <x v="0"/>
    <x v="0"/>
    <x v="2"/>
    <s v="Wardrobe"/>
    <n v="22"/>
    <n v="82252"/>
    <s v="10%"/>
    <n v="1628589.6"/>
    <x v="5"/>
    <x v="0"/>
  </r>
  <r>
    <s v="TXN0267"/>
    <x v="195"/>
    <x v="2"/>
    <x v="4"/>
    <x v="0"/>
    <s v="Women Dress"/>
    <n v="1"/>
    <n v="107680"/>
    <s v="10%"/>
    <n v="96912"/>
    <x v="2"/>
    <x v="2"/>
  </r>
  <r>
    <s v="TXN0268"/>
    <x v="162"/>
    <x v="1"/>
    <x v="8"/>
    <x v="2"/>
    <s v="Wardrobe"/>
    <n v="14"/>
    <n v="54745"/>
    <s v="5%"/>
    <n v="728108.5"/>
    <x v="7"/>
    <x v="1"/>
  </r>
  <r>
    <s v="TXN0269"/>
    <x v="196"/>
    <x v="0"/>
    <x v="2"/>
    <x v="0"/>
    <s v="Women Dress"/>
    <n v="13"/>
    <n v="26624"/>
    <s v="10%"/>
    <n v="311500.8"/>
    <x v="1"/>
    <x v="1"/>
  </r>
  <r>
    <s v="TXN0270"/>
    <x v="197"/>
    <x v="1"/>
    <x v="8"/>
    <x v="3"/>
    <s v="Rice 25kg"/>
    <n v="15"/>
    <n v="139312"/>
    <s v="0%"/>
    <n v="2089680"/>
    <x v="0"/>
    <x v="0"/>
  </r>
  <r>
    <s v="TXN0271"/>
    <x v="198"/>
    <x v="0"/>
    <x v="2"/>
    <x v="3"/>
    <s v="Milk Powder 2kg"/>
    <n v="15"/>
    <n v="121831"/>
    <s v="0%"/>
    <n v="1827465"/>
    <x v="7"/>
    <x v="1"/>
  </r>
  <r>
    <s v="TXN0272"/>
    <x v="199"/>
    <x v="0"/>
    <x v="0"/>
    <x v="0"/>
    <s v="Women Dress"/>
    <n v="17"/>
    <n v="98257"/>
    <s v="5%"/>
    <n v="1586850.55"/>
    <x v="0"/>
    <x v="0"/>
  </r>
  <r>
    <s v="TXN0273"/>
    <x v="200"/>
    <x v="1"/>
    <x v="3"/>
    <x v="0"/>
    <s v="Jeans"/>
    <n v="1"/>
    <n v="130600"/>
    <s v="10%"/>
    <n v="117540"/>
    <x v="3"/>
    <x v="0"/>
  </r>
  <r>
    <s v="TXN0274"/>
    <x v="141"/>
    <x v="1"/>
    <x v="1"/>
    <x v="2"/>
    <s v="Sofa Set"/>
    <n v="20"/>
    <n v="134374"/>
    <s v="10%"/>
    <n v="2418732"/>
    <x v="0"/>
    <x v="0"/>
  </r>
  <r>
    <s v="TXN0275"/>
    <x v="201"/>
    <x v="0"/>
    <x v="0"/>
    <x v="3"/>
    <s v="Beverage Tin"/>
    <n v="24"/>
    <n v="114317"/>
    <s v="10%"/>
    <n v="2469247.2"/>
    <x v="5"/>
    <x v="2"/>
  </r>
  <r>
    <s v="TXN0276"/>
    <x v="159"/>
    <x v="2"/>
    <x v="6"/>
    <x v="0"/>
    <s v="Shoes"/>
    <n v="23"/>
    <n v="70661"/>
    <s v="0%"/>
    <n v="1625203"/>
    <x v="2"/>
    <x v="0"/>
  </r>
  <r>
    <s v="TXN0277"/>
    <x v="202"/>
    <x v="0"/>
    <x v="0"/>
    <x v="2"/>
    <s v="Wardrobe"/>
    <n v="2"/>
    <n v="108113"/>
    <s v="0%"/>
    <n v="216226"/>
    <x v="6"/>
    <x v="2"/>
  </r>
  <r>
    <s v="TXN0278"/>
    <x v="159"/>
    <x v="2"/>
    <x v="7"/>
    <x v="0"/>
    <s v="Women Dress"/>
    <n v="24"/>
    <n v="139198"/>
    <s v="5%"/>
    <n v="3173714.4"/>
    <x v="4"/>
    <x v="0"/>
  </r>
  <r>
    <s v="TXN0279"/>
    <x v="203"/>
    <x v="0"/>
    <x v="5"/>
    <x v="2"/>
    <s v="Sofa Set"/>
    <n v="15"/>
    <n v="85838"/>
    <s v="5%"/>
    <n v="1223191.5"/>
    <x v="4"/>
    <x v="1"/>
  </r>
  <r>
    <s v="TXN0280"/>
    <x v="204"/>
    <x v="0"/>
    <x v="5"/>
    <x v="1"/>
    <s v="Bluetooth Speaker"/>
    <n v="11"/>
    <n v="41638"/>
    <s v="5%"/>
    <n v="435117.1"/>
    <x v="0"/>
    <x v="2"/>
  </r>
  <r>
    <s v="TXN0281"/>
    <x v="205"/>
    <x v="1"/>
    <x v="3"/>
    <x v="0"/>
    <s v="Women Dress"/>
    <n v="6"/>
    <n v="108186"/>
    <s v="0%"/>
    <n v="649116"/>
    <x v="7"/>
    <x v="1"/>
  </r>
  <r>
    <s v="TXN0282"/>
    <x v="26"/>
    <x v="2"/>
    <x v="7"/>
    <x v="2"/>
    <s v="Office Chair"/>
    <n v="23"/>
    <n v="114076"/>
    <s v="0%"/>
    <n v="2623748"/>
    <x v="3"/>
    <x v="0"/>
  </r>
  <r>
    <s v="TXN0283"/>
    <x v="206"/>
    <x v="1"/>
    <x v="1"/>
    <x v="1"/>
    <s v="Bluetooth Speaker"/>
    <n v="10"/>
    <n v="4062"/>
    <s v="5%"/>
    <n v="38589"/>
    <x v="0"/>
    <x v="1"/>
  </r>
  <r>
    <s v="TXN0284"/>
    <x v="207"/>
    <x v="0"/>
    <x v="0"/>
    <x v="2"/>
    <s v="Wardrobe"/>
    <n v="7"/>
    <n v="140301"/>
    <s v="10%"/>
    <n v="883896.3"/>
    <x v="0"/>
    <x v="1"/>
  </r>
  <r>
    <s v="TXN0285"/>
    <x v="58"/>
    <x v="0"/>
    <x v="5"/>
    <x v="0"/>
    <s v="Jacket"/>
    <n v="12"/>
    <n v="7632"/>
    <s v="5%"/>
    <n v="87004.8"/>
    <x v="5"/>
    <x v="0"/>
  </r>
  <r>
    <s v="TXN0286"/>
    <x v="166"/>
    <x v="1"/>
    <x v="1"/>
    <x v="3"/>
    <s v="Sugar 10kg"/>
    <n v="13"/>
    <n v="112779"/>
    <s v="5%"/>
    <n v="1392820.65"/>
    <x v="3"/>
    <x v="1"/>
  </r>
  <r>
    <s v="TXN0287"/>
    <x v="208"/>
    <x v="1"/>
    <x v="8"/>
    <x v="2"/>
    <s v="Bookshelf"/>
    <n v="4"/>
    <n v="10561"/>
    <s v="0%"/>
    <n v="42244"/>
    <x v="4"/>
    <x v="0"/>
  </r>
  <r>
    <s v="TXN0288"/>
    <x v="209"/>
    <x v="1"/>
    <x v="8"/>
    <x v="3"/>
    <s v="Beverage Tin"/>
    <n v="9"/>
    <n v="128036"/>
    <s v="5%"/>
    <n v="1094707.8"/>
    <x v="5"/>
    <x v="1"/>
  </r>
  <r>
    <s v="TXN0289"/>
    <x v="145"/>
    <x v="1"/>
    <x v="8"/>
    <x v="1"/>
    <s v="Smartphone"/>
    <n v="15"/>
    <n v="140443"/>
    <s v="10%"/>
    <n v="1895980.5"/>
    <x v="7"/>
    <x v="1"/>
  </r>
  <r>
    <s v="TXN0290"/>
    <x v="191"/>
    <x v="2"/>
    <x v="6"/>
    <x v="0"/>
    <s v="Men T-Shirt"/>
    <n v="22"/>
    <n v="15910"/>
    <s v="0%"/>
    <n v="350020"/>
    <x v="3"/>
    <x v="1"/>
  </r>
  <r>
    <s v="TXN0291"/>
    <x v="17"/>
    <x v="0"/>
    <x v="5"/>
    <x v="0"/>
    <s v="Shoes"/>
    <n v="8"/>
    <n v="84264"/>
    <s v="10%"/>
    <n v="606700.8"/>
    <x v="5"/>
    <x v="0"/>
  </r>
  <r>
    <s v="TXN0292"/>
    <x v="184"/>
    <x v="1"/>
    <x v="8"/>
    <x v="1"/>
    <s v="Headphones"/>
    <n v="19"/>
    <n v="103776"/>
    <s v="10%"/>
    <n v="1774569.6"/>
    <x v="2"/>
    <x v="2"/>
  </r>
  <r>
    <s v="TXN0293"/>
    <x v="106"/>
    <x v="0"/>
    <x v="0"/>
    <x v="3"/>
    <s v="Beverage Tin"/>
    <n v="6"/>
    <n v="51447"/>
    <s v="10%"/>
    <n v="277813.8"/>
    <x v="7"/>
    <x v="2"/>
  </r>
  <r>
    <s v="TXN0294"/>
    <x v="210"/>
    <x v="0"/>
    <x v="5"/>
    <x v="3"/>
    <s v="Milk Powder 2kg"/>
    <n v="24"/>
    <n v="79090"/>
    <s v="0%"/>
    <n v="1898160"/>
    <x v="0"/>
    <x v="0"/>
  </r>
  <r>
    <s v="TXN0295"/>
    <x v="211"/>
    <x v="1"/>
    <x v="8"/>
    <x v="0"/>
    <s v="Jacket"/>
    <n v="6"/>
    <n v="6812"/>
    <s v="0%"/>
    <n v="40872"/>
    <x v="4"/>
    <x v="2"/>
  </r>
  <r>
    <s v="TXN0296"/>
    <x v="172"/>
    <x v="2"/>
    <x v="7"/>
    <x v="2"/>
    <s v="Wardrobe"/>
    <n v="21"/>
    <n v="119421"/>
    <s v="0%"/>
    <n v="2507841"/>
    <x v="6"/>
    <x v="1"/>
  </r>
  <r>
    <s v="TXN0297"/>
    <x v="212"/>
    <x v="1"/>
    <x v="8"/>
    <x v="3"/>
    <s v="Milk Powder 2kg"/>
    <n v="23"/>
    <n v="75303"/>
    <s v="5%"/>
    <n v="1645370.55"/>
    <x v="2"/>
    <x v="2"/>
  </r>
  <r>
    <s v="TXN0298"/>
    <x v="88"/>
    <x v="0"/>
    <x v="0"/>
    <x v="0"/>
    <s v="Men T-Shirt"/>
    <n v="11"/>
    <n v="79125"/>
    <s v="5%"/>
    <n v="826856.25"/>
    <x v="2"/>
    <x v="1"/>
  </r>
  <r>
    <s v="TXN0299"/>
    <x v="180"/>
    <x v="1"/>
    <x v="3"/>
    <x v="0"/>
    <s v="Jeans"/>
    <n v="24"/>
    <n v="127040"/>
    <s v="10%"/>
    <n v="2744064"/>
    <x v="3"/>
    <x v="2"/>
  </r>
  <r>
    <s v="TXN0300"/>
    <x v="213"/>
    <x v="0"/>
    <x v="0"/>
    <x v="1"/>
    <s v="Laptop 15&quot;"/>
    <n v="3"/>
    <n v="7324"/>
    <s v="0%"/>
    <n v="21972"/>
    <x v="4"/>
    <x v="2"/>
  </r>
  <r>
    <s v="TXN0301"/>
    <x v="138"/>
    <x v="0"/>
    <x v="2"/>
    <x v="3"/>
    <s v="Milk Powder 2kg"/>
    <n v="24"/>
    <n v="19389"/>
    <s v="0%"/>
    <n v="465336"/>
    <x v="7"/>
    <x v="0"/>
  </r>
  <r>
    <s v="TXN0302"/>
    <x v="214"/>
    <x v="0"/>
    <x v="2"/>
    <x v="0"/>
    <s v="Shoes"/>
    <n v="20"/>
    <n v="125883"/>
    <s v="10%"/>
    <n v="2265894"/>
    <x v="0"/>
    <x v="0"/>
  </r>
  <r>
    <s v="TXN0303"/>
    <x v="186"/>
    <x v="2"/>
    <x v="4"/>
    <x v="0"/>
    <s v="Shoes"/>
    <n v="6"/>
    <n v="134189"/>
    <s v="0%"/>
    <n v="805134"/>
    <x v="5"/>
    <x v="1"/>
  </r>
  <r>
    <s v="TXN0304"/>
    <x v="119"/>
    <x v="1"/>
    <x v="1"/>
    <x v="3"/>
    <s v="Milk Powder 2kg"/>
    <n v="24"/>
    <n v="16234"/>
    <s v="0%"/>
    <n v="389616"/>
    <x v="3"/>
    <x v="1"/>
  </r>
  <r>
    <s v="TXN0305"/>
    <x v="35"/>
    <x v="0"/>
    <x v="0"/>
    <x v="3"/>
    <s v="Beverage Tin"/>
    <n v="2"/>
    <n v="3846"/>
    <s v="0%"/>
    <n v="7692"/>
    <x v="0"/>
    <x v="2"/>
  </r>
  <r>
    <s v="TXN0306"/>
    <x v="60"/>
    <x v="0"/>
    <x v="0"/>
    <x v="0"/>
    <s v="Jacket"/>
    <n v="8"/>
    <n v="49514"/>
    <s v="5%"/>
    <n v="376306.4"/>
    <x v="7"/>
    <x v="1"/>
  </r>
  <r>
    <s v="TXN0307"/>
    <x v="100"/>
    <x v="1"/>
    <x v="3"/>
    <x v="1"/>
    <s v="Smartphone"/>
    <n v="12"/>
    <n v="140541"/>
    <s v="0%"/>
    <n v="1686492"/>
    <x v="5"/>
    <x v="0"/>
  </r>
  <r>
    <s v="TXN0308"/>
    <x v="182"/>
    <x v="0"/>
    <x v="2"/>
    <x v="0"/>
    <s v="Jacket"/>
    <n v="4"/>
    <n v="94922"/>
    <s v="5%"/>
    <n v="360703.6"/>
    <x v="4"/>
    <x v="0"/>
  </r>
  <r>
    <s v="TXN0309"/>
    <x v="167"/>
    <x v="1"/>
    <x v="1"/>
    <x v="1"/>
    <s v="Smartphone"/>
    <n v="1"/>
    <n v="130534"/>
    <s v="0%"/>
    <n v="130534"/>
    <x v="4"/>
    <x v="2"/>
  </r>
  <r>
    <s v="TXN0310"/>
    <x v="160"/>
    <x v="2"/>
    <x v="7"/>
    <x v="0"/>
    <s v="Shoes"/>
    <n v="14"/>
    <n v="45533"/>
    <s v="5%"/>
    <n v="605588.9"/>
    <x v="2"/>
    <x v="1"/>
  </r>
  <r>
    <s v="TXN0311"/>
    <x v="215"/>
    <x v="2"/>
    <x v="7"/>
    <x v="1"/>
    <s v="Smartphone"/>
    <n v="11"/>
    <n v="35254"/>
    <s v="5%"/>
    <n v="368404.3"/>
    <x v="2"/>
    <x v="1"/>
  </r>
  <r>
    <s v="TXN0312"/>
    <x v="216"/>
    <x v="0"/>
    <x v="5"/>
    <x v="3"/>
    <s v="Sugar 10kg"/>
    <n v="13"/>
    <n v="50362"/>
    <s v="5%"/>
    <n v="621970.7"/>
    <x v="7"/>
    <x v="2"/>
  </r>
  <r>
    <s v="TXN0313"/>
    <x v="78"/>
    <x v="2"/>
    <x v="4"/>
    <x v="0"/>
    <s v="Jacket"/>
    <n v="6"/>
    <n v="68545"/>
    <s v="0%"/>
    <n v="411270"/>
    <x v="3"/>
    <x v="1"/>
  </r>
  <r>
    <s v="TXN0314"/>
    <x v="31"/>
    <x v="1"/>
    <x v="8"/>
    <x v="0"/>
    <s v="Women Dress"/>
    <n v="23"/>
    <n v="143937"/>
    <s v="5%"/>
    <n v="3145023.45"/>
    <x v="1"/>
    <x v="2"/>
  </r>
  <r>
    <s v="TXN0315"/>
    <x v="51"/>
    <x v="2"/>
    <x v="4"/>
    <x v="0"/>
    <s v="Jeans"/>
    <n v="2"/>
    <n v="119748"/>
    <s v="10%"/>
    <n v="215546.4"/>
    <x v="6"/>
    <x v="1"/>
  </r>
  <r>
    <s v="TXN0316"/>
    <x v="128"/>
    <x v="2"/>
    <x v="7"/>
    <x v="1"/>
    <s v="Headphones"/>
    <n v="2"/>
    <n v="11512"/>
    <s v="0%"/>
    <n v="23024"/>
    <x v="3"/>
    <x v="0"/>
  </r>
  <r>
    <s v="TXN0317"/>
    <x v="217"/>
    <x v="1"/>
    <x v="3"/>
    <x v="1"/>
    <s v="Smartphone"/>
    <n v="5"/>
    <n v="111872"/>
    <s v="0%"/>
    <n v="559360"/>
    <x v="6"/>
    <x v="1"/>
  </r>
  <r>
    <s v="TXN0318"/>
    <x v="207"/>
    <x v="0"/>
    <x v="0"/>
    <x v="3"/>
    <s v="Rice 25kg"/>
    <n v="9"/>
    <n v="96070"/>
    <s v="5%"/>
    <n v="821398.5"/>
    <x v="0"/>
    <x v="1"/>
  </r>
  <r>
    <s v="TXN0319"/>
    <x v="84"/>
    <x v="0"/>
    <x v="2"/>
    <x v="0"/>
    <s v="Women Dress"/>
    <n v="23"/>
    <n v="45078"/>
    <s v="0%"/>
    <n v="1036794"/>
    <x v="4"/>
    <x v="0"/>
  </r>
  <r>
    <s v="TXN0320"/>
    <x v="218"/>
    <x v="0"/>
    <x v="5"/>
    <x v="0"/>
    <s v="Jeans"/>
    <n v="5"/>
    <n v="15219"/>
    <s v="10%"/>
    <n v="68485.5"/>
    <x v="7"/>
    <x v="2"/>
  </r>
  <r>
    <s v="TXN0321"/>
    <x v="184"/>
    <x v="1"/>
    <x v="8"/>
    <x v="0"/>
    <s v="Women Dress"/>
    <n v="18"/>
    <n v="130309"/>
    <s v="0%"/>
    <n v="2345562"/>
    <x v="4"/>
    <x v="2"/>
  </r>
  <r>
    <s v="TXN0322"/>
    <x v="50"/>
    <x v="2"/>
    <x v="4"/>
    <x v="0"/>
    <s v="Shoes"/>
    <n v="2"/>
    <n v="87555"/>
    <s v="5%"/>
    <n v="166354.5"/>
    <x v="0"/>
    <x v="2"/>
  </r>
  <r>
    <s v="TXN0323"/>
    <x v="37"/>
    <x v="0"/>
    <x v="2"/>
    <x v="2"/>
    <s v="Wooden Table"/>
    <n v="1"/>
    <n v="139487"/>
    <s v="0%"/>
    <n v="139487"/>
    <x v="7"/>
    <x v="1"/>
  </r>
  <r>
    <s v="TXN0324"/>
    <x v="219"/>
    <x v="2"/>
    <x v="7"/>
    <x v="2"/>
    <s v="Office Chair"/>
    <n v="22"/>
    <n v="140023"/>
    <s v="5%"/>
    <n v="2926480.7"/>
    <x v="3"/>
    <x v="1"/>
  </r>
  <r>
    <s v="TXN0325"/>
    <x v="64"/>
    <x v="1"/>
    <x v="3"/>
    <x v="0"/>
    <s v="Jeans"/>
    <n v="8"/>
    <n v="61596"/>
    <s v="10%"/>
    <n v="443491.2"/>
    <x v="7"/>
    <x v="0"/>
  </r>
  <r>
    <s v="TXN0326"/>
    <x v="21"/>
    <x v="1"/>
    <x v="8"/>
    <x v="3"/>
    <s v="Sugar 10kg"/>
    <n v="3"/>
    <n v="89740"/>
    <s v="5%"/>
    <n v="255759"/>
    <x v="0"/>
    <x v="1"/>
  </r>
  <r>
    <s v="TXN0327"/>
    <x v="147"/>
    <x v="0"/>
    <x v="5"/>
    <x v="1"/>
    <s v="Headphones"/>
    <n v="5"/>
    <n v="134149"/>
    <s v="10%"/>
    <n v="603670.5"/>
    <x v="4"/>
    <x v="2"/>
  </r>
  <r>
    <s v="TXN0328"/>
    <x v="35"/>
    <x v="0"/>
    <x v="2"/>
    <x v="0"/>
    <s v="Jeans"/>
    <n v="4"/>
    <n v="17060"/>
    <s v="10%"/>
    <n v="61416"/>
    <x v="0"/>
    <x v="0"/>
  </r>
  <r>
    <s v="TXN0329"/>
    <x v="143"/>
    <x v="2"/>
    <x v="6"/>
    <x v="3"/>
    <s v="Rice 25kg"/>
    <n v="18"/>
    <n v="46303"/>
    <s v="10%"/>
    <n v="750108.6"/>
    <x v="1"/>
    <x v="2"/>
  </r>
  <r>
    <s v="TXN0330"/>
    <x v="33"/>
    <x v="1"/>
    <x v="8"/>
    <x v="1"/>
    <s v="Laptop 15&quot;"/>
    <n v="7"/>
    <n v="42711"/>
    <s v="5%"/>
    <n v="284028.15"/>
    <x v="5"/>
    <x v="2"/>
  </r>
  <r>
    <s v="TXN0331"/>
    <x v="40"/>
    <x v="2"/>
    <x v="6"/>
    <x v="0"/>
    <s v="Shoes"/>
    <n v="6"/>
    <n v="105974"/>
    <s v="10%"/>
    <n v="572259.6"/>
    <x v="4"/>
    <x v="0"/>
  </r>
  <r>
    <s v="TXN0332"/>
    <x v="102"/>
    <x v="0"/>
    <x v="5"/>
    <x v="3"/>
    <s v="Cooking Oil 5L"/>
    <n v="1"/>
    <n v="70728"/>
    <s v="5%"/>
    <n v="67191.60000000001"/>
    <x v="1"/>
    <x v="2"/>
  </r>
  <r>
    <s v="TXN0333"/>
    <x v="48"/>
    <x v="1"/>
    <x v="3"/>
    <x v="2"/>
    <s v="Sofa Set"/>
    <n v="15"/>
    <n v="130796"/>
    <s v="10%"/>
    <n v="1765746"/>
    <x v="6"/>
    <x v="0"/>
  </r>
  <r>
    <s v="TXN0334"/>
    <x v="79"/>
    <x v="2"/>
    <x v="4"/>
    <x v="3"/>
    <s v="Beverage Tin"/>
    <n v="8"/>
    <n v="138090"/>
    <s v="0%"/>
    <n v="1104720"/>
    <x v="1"/>
    <x v="0"/>
  </r>
  <r>
    <s v="TXN0335"/>
    <x v="121"/>
    <x v="1"/>
    <x v="8"/>
    <x v="0"/>
    <s v="Jeans"/>
    <n v="19"/>
    <n v="44157"/>
    <s v="0%"/>
    <n v="838983"/>
    <x v="1"/>
    <x v="2"/>
  </r>
  <r>
    <s v="TXN0336"/>
    <x v="220"/>
    <x v="2"/>
    <x v="6"/>
    <x v="3"/>
    <s v="Beverage Tin"/>
    <n v="3"/>
    <n v="99646"/>
    <s v="10%"/>
    <n v="269044.2"/>
    <x v="7"/>
    <x v="2"/>
  </r>
  <r>
    <s v="TXN0337"/>
    <x v="40"/>
    <x v="2"/>
    <x v="4"/>
    <x v="3"/>
    <s v="Rice 25kg"/>
    <n v="8"/>
    <n v="83910"/>
    <s v="0%"/>
    <n v="671280"/>
    <x v="6"/>
    <x v="1"/>
  </r>
  <r>
    <s v="TXN0338"/>
    <x v="191"/>
    <x v="2"/>
    <x v="7"/>
    <x v="0"/>
    <s v="Women Dress"/>
    <n v="1"/>
    <n v="62379"/>
    <s v="5%"/>
    <n v="59260.05"/>
    <x v="6"/>
    <x v="0"/>
  </r>
  <r>
    <s v="TXN0339"/>
    <x v="42"/>
    <x v="2"/>
    <x v="4"/>
    <x v="0"/>
    <s v="Shoes"/>
    <n v="4"/>
    <n v="54356"/>
    <s v="0%"/>
    <n v="217424"/>
    <x v="2"/>
    <x v="0"/>
  </r>
  <r>
    <s v="TXN0340"/>
    <x v="84"/>
    <x v="1"/>
    <x v="3"/>
    <x v="0"/>
    <s v="Men T-Shirt"/>
    <n v="1"/>
    <n v="47028"/>
    <s v="0%"/>
    <n v="47028"/>
    <x v="1"/>
    <x v="2"/>
  </r>
  <r>
    <s v="TXN0341"/>
    <x v="172"/>
    <x v="1"/>
    <x v="8"/>
    <x v="2"/>
    <s v="Wooden Table"/>
    <n v="4"/>
    <n v="22029"/>
    <s v="5%"/>
    <n v="83710.2"/>
    <x v="5"/>
    <x v="1"/>
  </r>
  <r>
    <s v="TXN0342"/>
    <x v="214"/>
    <x v="2"/>
    <x v="6"/>
    <x v="0"/>
    <s v="Jacket"/>
    <n v="10"/>
    <n v="105916"/>
    <s v="10%"/>
    <n v="953244"/>
    <x v="7"/>
    <x v="2"/>
  </r>
  <r>
    <s v="TXN0343"/>
    <x v="221"/>
    <x v="2"/>
    <x v="7"/>
    <x v="0"/>
    <s v="Women Dress"/>
    <n v="10"/>
    <n v="49197"/>
    <s v="0%"/>
    <n v="491970"/>
    <x v="7"/>
    <x v="1"/>
  </r>
  <r>
    <s v="TXN0344"/>
    <x v="7"/>
    <x v="0"/>
    <x v="2"/>
    <x v="2"/>
    <s v="Sofa Set"/>
    <n v="13"/>
    <n v="74907"/>
    <s v="10%"/>
    <n v="876411.9"/>
    <x v="3"/>
    <x v="0"/>
  </r>
  <r>
    <s v="TXN0345"/>
    <x v="211"/>
    <x v="1"/>
    <x v="1"/>
    <x v="2"/>
    <s v="Sofa Set"/>
    <n v="24"/>
    <n v="67435"/>
    <s v="5%"/>
    <n v="1537518"/>
    <x v="1"/>
    <x v="0"/>
  </r>
  <r>
    <s v="TXN0346"/>
    <x v="193"/>
    <x v="1"/>
    <x v="1"/>
    <x v="3"/>
    <s v="Milk Powder 2kg"/>
    <n v="15"/>
    <n v="23103"/>
    <s v="10%"/>
    <n v="311890.5"/>
    <x v="5"/>
    <x v="2"/>
  </r>
  <r>
    <s v="TXN0347"/>
    <x v="31"/>
    <x v="2"/>
    <x v="7"/>
    <x v="0"/>
    <s v="Jeans"/>
    <n v="15"/>
    <n v="87291"/>
    <s v="0%"/>
    <n v="1309365"/>
    <x v="5"/>
    <x v="1"/>
  </r>
  <r>
    <s v="TXN0348"/>
    <x v="222"/>
    <x v="0"/>
    <x v="0"/>
    <x v="3"/>
    <s v="Sugar 10kg"/>
    <n v="13"/>
    <n v="23609"/>
    <s v="5%"/>
    <n v="291571.15"/>
    <x v="2"/>
    <x v="0"/>
  </r>
  <r>
    <s v="TXN0349"/>
    <x v="180"/>
    <x v="0"/>
    <x v="2"/>
    <x v="0"/>
    <s v="Jacket"/>
    <n v="19"/>
    <n v="78683"/>
    <s v="5%"/>
    <n v="1420228.15"/>
    <x v="2"/>
    <x v="1"/>
  </r>
  <r>
    <s v="TXN0350"/>
    <x v="200"/>
    <x v="0"/>
    <x v="2"/>
    <x v="2"/>
    <s v="Wardrobe"/>
    <n v="11"/>
    <n v="133330"/>
    <s v="10%"/>
    <n v="1319967"/>
    <x v="6"/>
    <x v="0"/>
  </r>
  <r>
    <s v="TXN0351"/>
    <x v="117"/>
    <x v="2"/>
    <x v="7"/>
    <x v="1"/>
    <s v="Headphones"/>
    <n v="20"/>
    <n v="80834"/>
    <s v="0%"/>
    <n v="1616680"/>
    <x v="7"/>
    <x v="1"/>
  </r>
  <r>
    <s v="TXN0352"/>
    <x v="74"/>
    <x v="1"/>
    <x v="3"/>
    <x v="0"/>
    <s v="Jeans"/>
    <n v="10"/>
    <n v="79325"/>
    <s v="0%"/>
    <n v="793250"/>
    <x v="7"/>
    <x v="2"/>
  </r>
  <r>
    <s v="TXN0353"/>
    <x v="220"/>
    <x v="1"/>
    <x v="8"/>
    <x v="3"/>
    <s v="Milk Powder 2kg"/>
    <n v="8"/>
    <n v="58318"/>
    <s v="10%"/>
    <n v="419889.6"/>
    <x v="3"/>
    <x v="0"/>
  </r>
  <r>
    <s v="TXN0354"/>
    <x v="155"/>
    <x v="2"/>
    <x v="7"/>
    <x v="3"/>
    <s v="Rice 25kg"/>
    <n v="14"/>
    <n v="93474"/>
    <s v="10%"/>
    <n v="1177772.4"/>
    <x v="1"/>
    <x v="1"/>
  </r>
  <r>
    <s v="TXN0355"/>
    <x v="59"/>
    <x v="0"/>
    <x v="2"/>
    <x v="1"/>
    <s v="Bluetooth Speaker"/>
    <n v="13"/>
    <n v="76319"/>
    <s v="0%"/>
    <n v="992147"/>
    <x v="2"/>
    <x v="1"/>
  </r>
  <r>
    <s v="TXN0356"/>
    <x v="223"/>
    <x v="1"/>
    <x v="8"/>
    <x v="3"/>
    <s v="Rice 25kg"/>
    <n v="1"/>
    <n v="94751"/>
    <s v="0%"/>
    <n v="94751"/>
    <x v="2"/>
    <x v="0"/>
  </r>
  <r>
    <s v="TXN0357"/>
    <x v="224"/>
    <x v="2"/>
    <x v="4"/>
    <x v="1"/>
    <s v="Smartphone"/>
    <n v="11"/>
    <n v="40219"/>
    <s v="5%"/>
    <n v="420288.55"/>
    <x v="7"/>
    <x v="0"/>
  </r>
  <r>
    <s v="TXN0358"/>
    <x v="225"/>
    <x v="1"/>
    <x v="8"/>
    <x v="1"/>
    <s v="Laptop 15&quot;"/>
    <n v="5"/>
    <n v="63279"/>
    <s v="5%"/>
    <n v="300575.25"/>
    <x v="5"/>
    <x v="0"/>
  </r>
  <r>
    <s v="TXN0359"/>
    <x v="215"/>
    <x v="1"/>
    <x v="1"/>
    <x v="3"/>
    <s v="Cooking Oil 5L"/>
    <n v="8"/>
    <n v="3126"/>
    <s v="0%"/>
    <n v="25008"/>
    <x v="0"/>
    <x v="0"/>
  </r>
  <r>
    <s v="TXN0360"/>
    <x v="110"/>
    <x v="2"/>
    <x v="7"/>
    <x v="2"/>
    <s v="Office Chair"/>
    <n v="17"/>
    <n v="112945"/>
    <s v="10%"/>
    <n v="1728058.5"/>
    <x v="0"/>
    <x v="2"/>
  </r>
  <r>
    <s v="TXN0361"/>
    <x v="85"/>
    <x v="2"/>
    <x v="6"/>
    <x v="2"/>
    <s v="Wooden Table"/>
    <n v="14"/>
    <n v="137869"/>
    <s v="5%"/>
    <n v="1833657.7"/>
    <x v="1"/>
    <x v="0"/>
  </r>
  <r>
    <s v="TXN0362"/>
    <x v="173"/>
    <x v="2"/>
    <x v="4"/>
    <x v="1"/>
    <s v="Smartphone"/>
    <n v="23"/>
    <n v="37560"/>
    <s v="0%"/>
    <n v="863880"/>
    <x v="6"/>
    <x v="2"/>
  </r>
  <r>
    <s v="TXN0363"/>
    <x v="92"/>
    <x v="1"/>
    <x v="8"/>
    <x v="2"/>
    <s v="Bookshelf"/>
    <n v="5"/>
    <n v="135717"/>
    <s v="5%"/>
    <n v="644655.75"/>
    <x v="6"/>
    <x v="2"/>
  </r>
  <r>
    <s v="TXN0364"/>
    <x v="226"/>
    <x v="0"/>
    <x v="2"/>
    <x v="0"/>
    <s v="Jeans"/>
    <n v="23"/>
    <n v="22256"/>
    <s v="10%"/>
    <n v="460699.2"/>
    <x v="2"/>
    <x v="1"/>
  </r>
  <r>
    <s v="TXN0365"/>
    <x v="160"/>
    <x v="2"/>
    <x v="7"/>
    <x v="0"/>
    <s v="Men T-Shirt"/>
    <n v="22"/>
    <n v="122719"/>
    <s v="10%"/>
    <n v="2429836.2"/>
    <x v="5"/>
    <x v="1"/>
  </r>
  <r>
    <s v="TXN0366"/>
    <x v="227"/>
    <x v="0"/>
    <x v="5"/>
    <x v="0"/>
    <s v="Women Dress"/>
    <n v="15"/>
    <n v="59264"/>
    <s v="10%"/>
    <n v="800064"/>
    <x v="3"/>
    <x v="1"/>
  </r>
  <r>
    <s v="TXN0367"/>
    <x v="228"/>
    <x v="0"/>
    <x v="0"/>
    <x v="3"/>
    <s v="Rice 25kg"/>
    <n v="9"/>
    <n v="60545"/>
    <s v="5%"/>
    <n v="517659.75"/>
    <x v="5"/>
    <x v="2"/>
  </r>
  <r>
    <s v="TXN0368"/>
    <x v="229"/>
    <x v="2"/>
    <x v="7"/>
    <x v="1"/>
    <s v="Headphones"/>
    <n v="21"/>
    <n v="100945"/>
    <s v="5%"/>
    <n v="2013852.75"/>
    <x v="3"/>
    <x v="2"/>
  </r>
  <r>
    <s v="TXN0369"/>
    <x v="230"/>
    <x v="1"/>
    <x v="3"/>
    <x v="0"/>
    <s v="Men T-Shirt"/>
    <n v="20"/>
    <n v="142649"/>
    <s v="5%"/>
    <n v="2710331"/>
    <x v="6"/>
    <x v="2"/>
  </r>
  <r>
    <s v="TXN0370"/>
    <x v="223"/>
    <x v="1"/>
    <x v="1"/>
    <x v="1"/>
    <s v="Laptop 15&quot;"/>
    <n v="2"/>
    <n v="39368"/>
    <s v="0%"/>
    <n v="78736"/>
    <x v="5"/>
    <x v="1"/>
  </r>
  <r>
    <s v="TXN0371"/>
    <x v="68"/>
    <x v="2"/>
    <x v="6"/>
    <x v="2"/>
    <s v="Wardrobe"/>
    <n v="11"/>
    <n v="44914"/>
    <s v="0%"/>
    <n v="494054"/>
    <x v="4"/>
    <x v="2"/>
  </r>
  <r>
    <s v="TXN0372"/>
    <x v="231"/>
    <x v="1"/>
    <x v="3"/>
    <x v="3"/>
    <s v="Cooking Oil 5L"/>
    <n v="19"/>
    <n v="70526"/>
    <s v="0%"/>
    <n v="1339994"/>
    <x v="7"/>
    <x v="2"/>
  </r>
  <r>
    <s v="TXN0373"/>
    <x v="53"/>
    <x v="1"/>
    <x v="8"/>
    <x v="2"/>
    <s v="Wooden Table"/>
    <n v="6"/>
    <n v="22956"/>
    <s v="5%"/>
    <n v="130849.2"/>
    <x v="4"/>
    <x v="0"/>
  </r>
  <r>
    <s v="TXN0374"/>
    <x v="28"/>
    <x v="1"/>
    <x v="3"/>
    <x v="2"/>
    <s v="Office Chair"/>
    <n v="1"/>
    <n v="124008"/>
    <s v="10%"/>
    <n v="111607.2"/>
    <x v="3"/>
    <x v="1"/>
  </r>
  <r>
    <s v="TXN0375"/>
    <x v="232"/>
    <x v="2"/>
    <x v="4"/>
    <x v="3"/>
    <s v="Sugar 10kg"/>
    <n v="11"/>
    <n v="7757"/>
    <s v="5%"/>
    <n v="81060.64999999999"/>
    <x v="7"/>
    <x v="2"/>
  </r>
  <r>
    <s v="TXN0376"/>
    <x v="181"/>
    <x v="2"/>
    <x v="4"/>
    <x v="1"/>
    <s v="Headphones"/>
    <n v="18"/>
    <n v="106892"/>
    <s v="5%"/>
    <n v="1827853.2"/>
    <x v="7"/>
    <x v="2"/>
  </r>
  <r>
    <s v="TXN0377"/>
    <x v="233"/>
    <x v="2"/>
    <x v="7"/>
    <x v="1"/>
    <s v="Headphones"/>
    <n v="7"/>
    <n v="73480"/>
    <s v="0%"/>
    <n v="514360"/>
    <x v="2"/>
    <x v="1"/>
  </r>
  <r>
    <s v="TXN0378"/>
    <x v="234"/>
    <x v="0"/>
    <x v="2"/>
    <x v="0"/>
    <s v="Men T-Shirt"/>
    <n v="9"/>
    <n v="55853"/>
    <s v="0%"/>
    <n v="502677"/>
    <x v="5"/>
    <x v="2"/>
  </r>
  <r>
    <s v="TXN0379"/>
    <x v="103"/>
    <x v="0"/>
    <x v="0"/>
    <x v="1"/>
    <s v="Laptop 15&quot;"/>
    <n v="8"/>
    <n v="4759"/>
    <s v="0%"/>
    <n v="38072"/>
    <x v="5"/>
    <x v="0"/>
  </r>
  <r>
    <s v="TXN0380"/>
    <x v="235"/>
    <x v="1"/>
    <x v="3"/>
    <x v="2"/>
    <s v="Wardrobe"/>
    <n v="23"/>
    <n v="136554"/>
    <s v="5%"/>
    <n v="2983704.9"/>
    <x v="4"/>
    <x v="2"/>
  </r>
  <r>
    <s v="TXN0381"/>
    <x v="236"/>
    <x v="2"/>
    <x v="4"/>
    <x v="2"/>
    <s v="Bookshelf"/>
    <n v="17"/>
    <n v="93397"/>
    <s v="0%"/>
    <n v="1587749"/>
    <x v="4"/>
    <x v="2"/>
  </r>
  <r>
    <s v="TXN0382"/>
    <x v="109"/>
    <x v="0"/>
    <x v="2"/>
    <x v="2"/>
    <s v="Sofa Set"/>
    <n v="8"/>
    <n v="67077"/>
    <s v="5%"/>
    <n v="509785.2"/>
    <x v="0"/>
    <x v="0"/>
  </r>
  <r>
    <s v="TXN0383"/>
    <x v="12"/>
    <x v="0"/>
    <x v="5"/>
    <x v="0"/>
    <s v="Women Dress"/>
    <n v="18"/>
    <n v="140717"/>
    <s v="5%"/>
    <n v="2406260.7"/>
    <x v="5"/>
    <x v="0"/>
  </r>
  <r>
    <s v="TXN0384"/>
    <x v="55"/>
    <x v="1"/>
    <x v="1"/>
    <x v="1"/>
    <s v="Smart TV 42&quot;"/>
    <n v="18"/>
    <n v="14485"/>
    <s v="0%"/>
    <n v="260730"/>
    <x v="2"/>
    <x v="1"/>
  </r>
  <r>
    <s v="TXN0385"/>
    <x v="237"/>
    <x v="2"/>
    <x v="4"/>
    <x v="0"/>
    <s v="Women Dress"/>
    <n v="19"/>
    <n v="122614"/>
    <s v="0%"/>
    <n v="2329666"/>
    <x v="7"/>
    <x v="1"/>
  </r>
  <r>
    <s v="TXN0386"/>
    <x v="149"/>
    <x v="0"/>
    <x v="0"/>
    <x v="1"/>
    <s v="Smart TV 42&quot;"/>
    <n v="1"/>
    <n v="55487"/>
    <s v="5%"/>
    <n v="52712.65"/>
    <x v="7"/>
    <x v="1"/>
  </r>
  <r>
    <s v="TXN0387"/>
    <x v="13"/>
    <x v="0"/>
    <x v="2"/>
    <x v="1"/>
    <s v="Headphones"/>
    <n v="7"/>
    <n v="51770"/>
    <s v="0%"/>
    <n v="362390"/>
    <x v="2"/>
    <x v="0"/>
  </r>
  <r>
    <s v="TXN0388"/>
    <x v="179"/>
    <x v="1"/>
    <x v="8"/>
    <x v="2"/>
    <s v="Office Chair"/>
    <n v="10"/>
    <n v="134026"/>
    <s v="10%"/>
    <n v="1206234"/>
    <x v="1"/>
    <x v="0"/>
  </r>
  <r>
    <s v="TXN0389"/>
    <x v="238"/>
    <x v="2"/>
    <x v="7"/>
    <x v="2"/>
    <s v="Wooden Table"/>
    <n v="1"/>
    <n v="108947"/>
    <s v="0%"/>
    <n v="108947"/>
    <x v="2"/>
    <x v="0"/>
  </r>
  <r>
    <s v="TXN0390"/>
    <x v="179"/>
    <x v="2"/>
    <x v="4"/>
    <x v="0"/>
    <s v="Jacket"/>
    <n v="18"/>
    <n v="112575"/>
    <s v="5%"/>
    <n v="1925032.5"/>
    <x v="6"/>
    <x v="0"/>
  </r>
  <r>
    <s v="TXN0391"/>
    <x v="239"/>
    <x v="2"/>
    <x v="6"/>
    <x v="0"/>
    <s v="Women Dress"/>
    <n v="23"/>
    <n v="33678"/>
    <s v="5%"/>
    <n v="735864.3"/>
    <x v="5"/>
    <x v="1"/>
  </r>
  <r>
    <s v="TXN0392"/>
    <x v="38"/>
    <x v="2"/>
    <x v="7"/>
    <x v="1"/>
    <s v="Bluetooth Speaker"/>
    <n v="8"/>
    <n v="75258"/>
    <s v="5%"/>
    <n v="571960.8"/>
    <x v="4"/>
    <x v="0"/>
  </r>
  <r>
    <s v="TXN0393"/>
    <x v="85"/>
    <x v="2"/>
    <x v="7"/>
    <x v="1"/>
    <s v="Bluetooth Speaker"/>
    <n v="1"/>
    <n v="88595"/>
    <s v="5%"/>
    <n v="84165.25"/>
    <x v="7"/>
    <x v="1"/>
  </r>
  <r>
    <s v="TXN0394"/>
    <x v="17"/>
    <x v="2"/>
    <x v="4"/>
    <x v="1"/>
    <s v="Headphones"/>
    <n v="2"/>
    <n v="76506"/>
    <s v="0%"/>
    <n v="153012"/>
    <x v="1"/>
    <x v="1"/>
  </r>
  <r>
    <s v="TXN0395"/>
    <x v="139"/>
    <x v="2"/>
    <x v="6"/>
    <x v="0"/>
    <s v="Men T-Shirt"/>
    <n v="24"/>
    <n v="116453"/>
    <s v="10%"/>
    <n v="2515384.8"/>
    <x v="4"/>
    <x v="2"/>
  </r>
  <r>
    <s v="TXN0396"/>
    <x v="147"/>
    <x v="0"/>
    <x v="5"/>
    <x v="0"/>
    <s v="Women Dress"/>
    <n v="22"/>
    <n v="124300"/>
    <s v="10%"/>
    <n v="2461140"/>
    <x v="1"/>
    <x v="0"/>
  </r>
  <r>
    <s v="TXN0397"/>
    <x v="125"/>
    <x v="1"/>
    <x v="8"/>
    <x v="0"/>
    <s v="Shoes"/>
    <n v="23"/>
    <n v="50057"/>
    <s v="5%"/>
    <n v="1093745.45"/>
    <x v="1"/>
    <x v="2"/>
  </r>
  <r>
    <s v="TXN0398"/>
    <x v="240"/>
    <x v="2"/>
    <x v="6"/>
    <x v="0"/>
    <s v="Shoes"/>
    <n v="10"/>
    <n v="19032"/>
    <s v="10%"/>
    <n v="171288"/>
    <x v="6"/>
    <x v="0"/>
  </r>
  <r>
    <s v="TXN0399"/>
    <x v="70"/>
    <x v="0"/>
    <x v="0"/>
    <x v="1"/>
    <s v="Laptop 15&quot;"/>
    <n v="21"/>
    <n v="147931"/>
    <s v="10%"/>
    <n v="2795895.9"/>
    <x v="2"/>
    <x v="0"/>
  </r>
  <r>
    <s v="TXN0400"/>
    <x v="232"/>
    <x v="1"/>
    <x v="1"/>
    <x v="3"/>
    <s v="Sugar 10kg"/>
    <n v="18"/>
    <n v="142777"/>
    <s v="0%"/>
    <n v="2569986"/>
    <x v="2"/>
    <x v="2"/>
  </r>
  <r>
    <s v="TXN0401"/>
    <x v="155"/>
    <x v="0"/>
    <x v="5"/>
    <x v="1"/>
    <s v="Bluetooth Speaker"/>
    <n v="5"/>
    <n v="90955"/>
    <s v="0%"/>
    <n v="454775"/>
    <x v="5"/>
    <x v="1"/>
  </r>
  <r>
    <s v="TXN0402"/>
    <x v="241"/>
    <x v="2"/>
    <x v="6"/>
    <x v="3"/>
    <s v="Sugar 10kg"/>
    <n v="10"/>
    <n v="149430"/>
    <s v="0%"/>
    <n v="1494300"/>
    <x v="6"/>
    <x v="1"/>
  </r>
  <r>
    <s v="TXN0403"/>
    <x v="242"/>
    <x v="1"/>
    <x v="8"/>
    <x v="0"/>
    <s v="Jacket"/>
    <n v="23"/>
    <n v="119243"/>
    <s v="10%"/>
    <n v="2468330.1"/>
    <x v="6"/>
    <x v="2"/>
  </r>
  <r>
    <s v="TXN0404"/>
    <x v="31"/>
    <x v="0"/>
    <x v="0"/>
    <x v="1"/>
    <s v="Smartphone"/>
    <n v="5"/>
    <n v="135351"/>
    <s v="10%"/>
    <n v="609079.5"/>
    <x v="5"/>
    <x v="0"/>
  </r>
  <r>
    <s v="TXN0405"/>
    <x v="122"/>
    <x v="0"/>
    <x v="0"/>
    <x v="1"/>
    <s v="Bluetooth Speaker"/>
    <n v="9"/>
    <n v="133273"/>
    <s v="0%"/>
    <n v="1199457"/>
    <x v="3"/>
    <x v="0"/>
  </r>
  <r>
    <s v="TXN0406"/>
    <x v="24"/>
    <x v="2"/>
    <x v="7"/>
    <x v="2"/>
    <s v="Bookshelf"/>
    <n v="12"/>
    <n v="123674"/>
    <s v="10%"/>
    <n v="1335679.2"/>
    <x v="5"/>
    <x v="2"/>
  </r>
  <r>
    <s v="TXN0407"/>
    <x v="103"/>
    <x v="1"/>
    <x v="8"/>
    <x v="0"/>
    <s v="Jacket"/>
    <n v="12"/>
    <n v="22063"/>
    <s v="0%"/>
    <n v="264756"/>
    <x v="0"/>
    <x v="2"/>
  </r>
  <r>
    <s v="TXN0408"/>
    <x v="10"/>
    <x v="0"/>
    <x v="5"/>
    <x v="1"/>
    <s v="Smart TV 42&quot;"/>
    <n v="14"/>
    <n v="38954"/>
    <s v="0%"/>
    <n v="545356"/>
    <x v="5"/>
    <x v="1"/>
  </r>
  <r>
    <s v="TXN0409"/>
    <x v="243"/>
    <x v="1"/>
    <x v="1"/>
    <x v="2"/>
    <s v="Office Chair"/>
    <n v="14"/>
    <n v="38367"/>
    <s v="10%"/>
    <n v="483424.2"/>
    <x v="5"/>
    <x v="1"/>
  </r>
  <r>
    <s v="TXN0410"/>
    <x v="23"/>
    <x v="1"/>
    <x v="1"/>
    <x v="2"/>
    <s v="Office Chair"/>
    <n v="7"/>
    <n v="26752"/>
    <s v="0%"/>
    <n v="187264"/>
    <x v="2"/>
    <x v="1"/>
  </r>
  <r>
    <s v="TXN0411"/>
    <x v="244"/>
    <x v="0"/>
    <x v="2"/>
    <x v="3"/>
    <s v="Cooking Oil 5L"/>
    <n v="22"/>
    <n v="133282"/>
    <s v="5%"/>
    <n v="2785593.8"/>
    <x v="3"/>
    <x v="0"/>
  </r>
  <r>
    <s v="TXN0412"/>
    <x v="88"/>
    <x v="2"/>
    <x v="6"/>
    <x v="0"/>
    <s v="Jeans"/>
    <n v="13"/>
    <n v="129678"/>
    <s v="10%"/>
    <n v="1517232.6"/>
    <x v="6"/>
    <x v="0"/>
  </r>
  <r>
    <s v="TXN0413"/>
    <x v="215"/>
    <x v="1"/>
    <x v="3"/>
    <x v="1"/>
    <s v="Bluetooth Speaker"/>
    <n v="11"/>
    <n v="59133"/>
    <s v="0%"/>
    <n v="650463"/>
    <x v="2"/>
    <x v="2"/>
  </r>
  <r>
    <s v="TXN0414"/>
    <x v="145"/>
    <x v="1"/>
    <x v="1"/>
    <x v="0"/>
    <s v="Women Dress"/>
    <n v="21"/>
    <n v="34653"/>
    <s v="10%"/>
    <n v="654941.7"/>
    <x v="1"/>
    <x v="1"/>
  </r>
  <r>
    <s v="TXN0415"/>
    <x v="190"/>
    <x v="0"/>
    <x v="2"/>
    <x v="3"/>
    <s v="Milk Powder 2kg"/>
    <n v="17"/>
    <n v="124829"/>
    <s v="10%"/>
    <n v="1909883.7"/>
    <x v="1"/>
    <x v="1"/>
  </r>
  <r>
    <s v="TXN0416"/>
    <x v="245"/>
    <x v="0"/>
    <x v="2"/>
    <x v="2"/>
    <s v="Bookshelf"/>
    <n v="23"/>
    <n v="51756"/>
    <s v="0%"/>
    <n v="1190388"/>
    <x v="0"/>
    <x v="0"/>
  </r>
  <r>
    <s v="TXN0417"/>
    <x v="246"/>
    <x v="1"/>
    <x v="1"/>
    <x v="0"/>
    <s v="Shoes"/>
    <n v="22"/>
    <n v="54226"/>
    <s v="5%"/>
    <n v="1133323.4"/>
    <x v="7"/>
    <x v="2"/>
  </r>
  <r>
    <s v="TXN0418"/>
    <x v="229"/>
    <x v="0"/>
    <x v="2"/>
    <x v="0"/>
    <s v="Jacket"/>
    <n v="6"/>
    <n v="32402"/>
    <s v="10%"/>
    <n v="174970.8"/>
    <x v="0"/>
    <x v="2"/>
  </r>
  <r>
    <s v="TXN0419"/>
    <x v="128"/>
    <x v="2"/>
    <x v="4"/>
    <x v="3"/>
    <s v="Cooking Oil 5L"/>
    <n v="2"/>
    <n v="50924"/>
    <s v="0%"/>
    <n v="101848"/>
    <x v="0"/>
    <x v="1"/>
  </r>
  <r>
    <s v="TXN0420"/>
    <x v="100"/>
    <x v="2"/>
    <x v="7"/>
    <x v="2"/>
    <s v="Office Chair"/>
    <n v="17"/>
    <n v="38737"/>
    <s v="5%"/>
    <n v="625602.55"/>
    <x v="4"/>
    <x v="1"/>
  </r>
  <r>
    <s v="TXN0421"/>
    <x v="247"/>
    <x v="1"/>
    <x v="1"/>
    <x v="3"/>
    <s v="Milk Powder 2kg"/>
    <n v="14"/>
    <n v="131575"/>
    <s v="10%"/>
    <n v="1657845"/>
    <x v="3"/>
    <x v="1"/>
  </r>
  <r>
    <s v="TXN0422"/>
    <x v="248"/>
    <x v="1"/>
    <x v="3"/>
    <x v="1"/>
    <s v="Smartphone"/>
    <n v="22"/>
    <n v="24172"/>
    <s v="0%"/>
    <n v="531784"/>
    <x v="0"/>
    <x v="2"/>
  </r>
  <r>
    <s v="TXN0423"/>
    <x v="200"/>
    <x v="0"/>
    <x v="5"/>
    <x v="0"/>
    <s v="Shoes"/>
    <n v="19"/>
    <n v="56276"/>
    <s v="10%"/>
    <n v="962319.6"/>
    <x v="1"/>
    <x v="0"/>
  </r>
  <r>
    <s v="TXN0424"/>
    <x v="227"/>
    <x v="0"/>
    <x v="0"/>
    <x v="2"/>
    <s v="Bookshelf"/>
    <n v="11"/>
    <n v="92599"/>
    <s v="5%"/>
    <n v="967659.55"/>
    <x v="2"/>
    <x v="1"/>
  </r>
  <r>
    <s v="TXN0425"/>
    <x v="157"/>
    <x v="2"/>
    <x v="7"/>
    <x v="1"/>
    <s v="Smart TV 42&quot;"/>
    <n v="17"/>
    <n v="14046"/>
    <s v="10%"/>
    <n v="214903.8"/>
    <x v="7"/>
    <x v="1"/>
  </r>
  <r>
    <s v="TXN0426"/>
    <x v="249"/>
    <x v="1"/>
    <x v="3"/>
    <x v="2"/>
    <s v="Bookshelf"/>
    <n v="3"/>
    <n v="119021"/>
    <s v="5%"/>
    <n v="339209.85"/>
    <x v="6"/>
    <x v="1"/>
  </r>
  <r>
    <s v="TXN0427"/>
    <x v="61"/>
    <x v="2"/>
    <x v="7"/>
    <x v="0"/>
    <s v="Jeans"/>
    <n v="23"/>
    <n v="7853"/>
    <s v="10%"/>
    <n v="162557.1"/>
    <x v="0"/>
    <x v="1"/>
  </r>
  <r>
    <s v="TXN0428"/>
    <x v="117"/>
    <x v="1"/>
    <x v="1"/>
    <x v="0"/>
    <s v="Men T-Shirt"/>
    <n v="24"/>
    <n v="62129"/>
    <s v="0%"/>
    <n v="1491096"/>
    <x v="2"/>
    <x v="2"/>
  </r>
  <r>
    <s v="TXN0429"/>
    <x v="138"/>
    <x v="2"/>
    <x v="6"/>
    <x v="1"/>
    <s v="Laptop 15&quot;"/>
    <n v="15"/>
    <n v="117130"/>
    <s v="5%"/>
    <n v="1669102.5"/>
    <x v="6"/>
    <x v="1"/>
  </r>
  <r>
    <s v="TXN0430"/>
    <x v="137"/>
    <x v="2"/>
    <x v="7"/>
    <x v="2"/>
    <s v="Wooden Table"/>
    <n v="20"/>
    <n v="149922"/>
    <s v="0%"/>
    <n v="2998440"/>
    <x v="2"/>
    <x v="2"/>
  </r>
  <r>
    <s v="TXN0431"/>
    <x v="131"/>
    <x v="0"/>
    <x v="0"/>
    <x v="2"/>
    <s v="Sofa Set"/>
    <n v="13"/>
    <n v="41890"/>
    <s v="10%"/>
    <n v="490113"/>
    <x v="6"/>
    <x v="2"/>
  </r>
  <r>
    <s v="TXN0432"/>
    <x v="250"/>
    <x v="0"/>
    <x v="5"/>
    <x v="3"/>
    <s v="Rice 25kg"/>
    <n v="2"/>
    <n v="135596"/>
    <s v="10%"/>
    <n v="244072.8"/>
    <x v="1"/>
    <x v="1"/>
  </r>
  <r>
    <s v="TXN0433"/>
    <x v="251"/>
    <x v="0"/>
    <x v="0"/>
    <x v="0"/>
    <s v="Shoes"/>
    <n v="9"/>
    <n v="57912"/>
    <s v="5%"/>
    <n v="495147.6"/>
    <x v="6"/>
    <x v="1"/>
  </r>
  <r>
    <s v="TXN0434"/>
    <x v="25"/>
    <x v="0"/>
    <x v="5"/>
    <x v="2"/>
    <s v="Office Chair"/>
    <n v="11"/>
    <n v="86559"/>
    <s v="0%"/>
    <n v="952149"/>
    <x v="4"/>
    <x v="2"/>
  </r>
  <r>
    <s v="TXN0435"/>
    <x v="143"/>
    <x v="0"/>
    <x v="0"/>
    <x v="1"/>
    <s v="Headphones"/>
    <n v="7"/>
    <n v="27354"/>
    <s v="5%"/>
    <n v="181904.1"/>
    <x v="1"/>
    <x v="2"/>
  </r>
  <r>
    <s v="TXN0436"/>
    <x v="5"/>
    <x v="0"/>
    <x v="2"/>
    <x v="1"/>
    <s v="Smartphone"/>
    <n v="18"/>
    <n v="89123"/>
    <s v="5%"/>
    <n v="1524003.3"/>
    <x v="5"/>
    <x v="1"/>
  </r>
  <r>
    <s v="TXN0437"/>
    <x v="51"/>
    <x v="0"/>
    <x v="5"/>
    <x v="1"/>
    <s v="Laptop 15&quot;"/>
    <n v="19"/>
    <n v="23581"/>
    <s v="5%"/>
    <n v="425637.05"/>
    <x v="1"/>
    <x v="1"/>
  </r>
  <r>
    <s v="TXN0438"/>
    <x v="252"/>
    <x v="2"/>
    <x v="6"/>
    <x v="2"/>
    <s v="Wooden Table"/>
    <n v="12"/>
    <n v="54474"/>
    <s v="5%"/>
    <n v="621003.6"/>
    <x v="2"/>
    <x v="0"/>
  </r>
  <r>
    <s v="TXN0439"/>
    <x v="106"/>
    <x v="0"/>
    <x v="0"/>
    <x v="3"/>
    <s v="Sugar 10kg"/>
    <n v="12"/>
    <n v="72626"/>
    <s v="10%"/>
    <n v="784360.8"/>
    <x v="5"/>
    <x v="1"/>
  </r>
  <r>
    <s v="TXN0440"/>
    <x v="218"/>
    <x v="1"/>
    <x v="3"/>
    <x v="2"/>
    <s v="Wooden Table"/>
    <n v="17"/>
    <n v="39408"/>
    <s v="0%"/>
    <n v="669936"/>
    <x v="5"/>
    <x v="2"/>
  </r>
  <r>
    <s v="TXN0441"/>
    <x v="174"/>
    <x v="2"/>
    <x v="6"/>
    <x v="3"/>
    <s v="Sugar 10kg"/>
    <n v="17"/>
    <n v="60134"/>
    <s v="5%"/>
    <n v="971164.1"/>
    <x v="6"/>
    <x v="1"/>
  </r>
  <r>
    <s v="TXN0442"/>
    <x v="162"/>
    <x v="2"/>
    <x v="4"/>
    <x v="1"/>
    <s v="Bluetooth Speaker"/>
    <n v="16"/>
    <n v="93327"/>
    <s v="5%"/>
    <n v="1418570.4"/>
    <x v="7"/>
    <x v="1"/>
  </r>
  <r>
    <s v="TXN0443"/>
    <x v="253"/>
    <x v="2"/>
    <x v="4"/>
    <x v="0"/>
    <s v="Jeans"/>
    <n v="8"/>
    <n v="146326"/>
    <s v="0%"/>
    <n v="1170608"/>
    <x v="6"/>
    <x v="2"/>
  </r>
  <r>
    <s v="TXN0444"/>
    <x v="227"/>
    <x v="1"/>
    <x v="3"/>
    <x v="1"/>
    <s v="Smart TV 42&quot;"/>
    <n v="17"/>
    <n v="135822"/>
    <s v="0%"/>
    <n v="2308974"/>
    <x v="5"/>
    <x v="2"/>
  </r>
  <r>
    <s v="TXN0445"/>
    <x v="254"/>
    <x v="1"/>
    <x v="8"/>
    <x v="2"/>
    <s v="Wardrobe"/>
    <n v="8"/>
    <n v="149968"/>
    <s v="5%"/>
    <n v="1139756.8"/>
    <x v="4"/>
    <x v="2"/>
  </r>
  <r>
    <s v="TXN0446"/>
    <x v="15"/>
    <x v="0"/>
    <x v="2"/>
    <x v="0"/>
    <s v="Jacket"/>
    <n v="12"/>
    <n v="80454"/>
    <s v="5%"/>
    <n v="917175.6"/>
    <x v="0"/>
    <x v="0"/>
  </r>
  <r>
    <s v="TXN0447"/>
    <x v="10"/>
    <x v="2"/>
    <x v="7"/>
    <x v="1"/>
    <s v="Smartphone"/>
    <n v="9"/>
    <n v="125732"/>
    <s v="0%"/>
    <n v="1131588"/>
    <x v="6"/>
    <x v="0"/>
  </r>
  <r>
    <s v="TXN0448"/>
    <x v="255"/>
    <x v="2"/>
    <x v="6"/>
    <x v="2"/>
    <s v="Office Chair"/>
    <n v="15"/>
    <n v="40641"/>
    <s v="10%"/>
    <n v="548653.5"/>
    <x v="1"/>
    <x v="1"/>
  </r>
  <r>
    <s v="TXN0449"/>
    <x v="127"/>
    <x v="0"/>
    <x v="5"/>
    <x v="1"/>
    <s v="Smart TV 42&quot;"/>
    <n v="7"/>
    <n v="109896"/>
    <s v="0%"/>
    <n v="769272"/>
    <x v="7"/>
    <x v="2"/>
  </r>
  <r>
    <s v="TXN0450"/>
    <x v="197"/>
    <x v="1"/>
    <x v="3"/>
    <x v="1"/>
    <s v="Smart TV 42&quot;"/>
    <n v="21"/>
    <n v="22541"/>
    <s v="0%"/>
    <n v="473361"/>
    <x v="0"/>
    <x v="1"/>
  </r>
  <r>
    <s v="TXN0451"/>
    <x v="123"/>
    <x v="1"/>
    <x v="3"/>
    <x v="2"/>
    <s v="Wooden Table"/>
    <n v="7"/>
    <n v="47813"/>
    <s v="5%"/>
    <n v="317956.45"/>
    <x v="0"/>
    <x v="1"/>
  </r>
  <r>
    <s v="TXN0452"/>
    <x v="186"/>
    <x v="0"/>
    <x v="0"/>
    <x v="3"/>
    <s v="Milk Powder 2kg"/>
    <n v="21"/>
    <n v="27070"/>
    <s v="5%"/>
    <n v="540046.5"/>
    <x v="3"/>
    <x v="2"/>
  </r>
  <r>
    <s v="TXN0453"/>
    <x v="50"/>
    <x v="0"/>
    <x v="0"/>
    <x v="2"/>
    <s v="Bookshelf"/>
    <n v="19"/>
    <n v="83559"/>
    <s v="5%"/>
    <n v="1508239.95"/>
    <x v="4"/>
    <x v="1"/>
  </r>
  <r>
    <s v="TXN0454"/>
    <x v="33"/>
    <x v="2"/>
    <x v="7"/>
    <x v="1"/>
    <s v="Laptop 15&quot;"/>
    <n v="18"/>
    <n v="44786"/>
    <s v="5%"/>
    <n v="765840.6"/>
    <x v="4"/>
    <x v="1"/>
  </r>
  <r>
    <s v="TXN0455"/>
    <x v="22"/>
    <x v="1"/>
    <x v="8"/>
    <x v="1"/>
    <s v="Laptop 15&quot;"/>
    <n v="18"/>
    <n v="39062"/>
    <s v="5%"/>
    <n v="667960.2"/>
    <x v="7"/>
    <x v="0"/>
  </r>
  <r>
    <s v="TXN0456"/>
    <x v="0"/>
    <x v="2"/>
    <x v="4"/>
    <x v="3"/>
    <s v="Cooking Oil 5L"/>
    <n v="17"/>
    <n v="92613"/>
    <s v="0%"/>
    <n v="1574421"/>
    <x v="7"/>
    <x v="0"/>
  </r>
  <r>
    <s v="TXN0457"/>
    <x v="256"/>
    <x v="1"/>
    <x v="8"/>
    <x v="3"/>
    <s v="Milk Powder 2kg"/>
    <n v="24"/>
    <n v="124826"/>
    <s v="5%"/>
    <n v="2846032.8"/>
    <x v="1"/>
    <x v="2"/>
  </r>
  <r>
    <s v="TXN0458"/>
    <x v="107"/>
    <x v="0"/>
    <x v="0"/>
    <x v="1"/>
    <s v="Laptop 15&quot;"/>
    <n v="13"/>
    <n v="137055"/>
    <s v="5%"/>
    <n v="1692629.25"/>
    <x v="1"/>
    <x v="1"/>
  </r>
  <r>
    <s v="TXN0459"/>
    <x v="140"/>
    <x v="1"/>
    <x v="8"/>
    <x v="1"/>
    <s v="Smart TV 42&quot;"/>
    <n v="23"/>
    <n v="97071"/>
    <s v="0%"/>
    <n v="2232633"/>
    <x v="7"/>
    <x v="1"/>
  </r>
  <r>
    <s v="TXN0460"/>
    <x v="88"/>
    <x v="0"/>
    <x v="0"/>
    <x v="0"/>
    <s v="Jeans"/>
    <n v="22"/>
    <n v="118608"/>
    <s v="0%"/>
    <n v="2609376"/>
    <x v="3"/>
    <x v="0"/>
  </r>
  <r>
    <s v="TXN0461"/>
    <x v="223"/>
    <x v="2"/>
    <x v="4"/>
    <x v="0"/>
    <s v="Shoes"/>
    <n v="1"/>
    <n v="82273"/>
    <s v="0%"/>
    <n v="82273"/>
    <x v="5"/>
    <x v="1"/>
  </r>
  <r>
    <s v="TXN0462"/>
    <x v="107"/>
    <x v="1"/>
    <x v="3"/>
    <x v="0"/>
    <s v="Women Dress"/>
    <n v="2"/>
    <n v="126618"/>
    <s v="10%"/>
    <n v="227912.4"/>
    <x v="2"/>
    <x v="0"/>
  </r>
  <r>
    <s v="TXN0463"/>
    <x v="98"/>
    <x v="1"/>
    <x v="8"/>
    <x v="2"/>
    <s v="Office Chair"/>
    <n v="2"/>
    <n v="128341"/>
    <s v="0%"/>
    <n v="256682"/>
    <x v="1"/>
    <x v="0"/>
  </r>
  <r>
    <s v="TXN0464"/>
    <x v="257"/>
    <x v="0"/>
    <x v="2"/>
    <x v="2"/>
    <s v="Sofa Set"/>
    <n v="23"/>
    <n v="30788"/>
    <s v="0%"/>
    <n v="708124"/>
    <x v="1"/>
    <x v="1"/>
  </r>
  <r>
    <s v="TXN0465"/>
    <x v="205"/>
    <x v="1"/>
    <x v="1"/>
    <x v="2"/>
    <s v="Wardrobe"/>
    <n v="3"/>
    <n v="99122"/>
    <s v="0%"/>
    <n v="297366"/>
    <x v="5"/>
    <x v="2"/>
  </r>
  <r>
    <s v="TXN0466"/>
    <x v="121"/>
    <x v="2"/>
    <x v="4"/>
    <x v="2"/>
    <s v="Wooden Table"/>
    <n v="14"/>
    <n v="19371"/>
    <s v="0%"/>
    <n v="271194"/>
    <x v="3"/>
    <x v="1"/>
  </r>
  <r>
    <s v="TXN0467"/>
    <x v="258"/>
    <x v="0"/>
    <x v="0"/>
    <x v="2"/>
    <s v="Sofa Set"/>
    <n v="17"/>
    <n v="64916"/>
    <s v="0%"/>
    <n v="1103572"/>
    <x v="0"/>
    <x v="2"/>
  </r>
  <r>
    <s v="TXN0468"/>
    <x v="259"/>
    <x v="2"/>
    <x v="4"/>
    <x v="3"/>
    <s v="Cooking Oil 5L"/>
    <n v="21"/>
    <n v="15984"/>
    <s v="0%"/>
    <n v="335664"/>
    <x v="5"/>
    <x v="1"/>
  </r>
  <r>
    <s v="TXN0469"/>
    <x v="116"/>
    <x v="1"/>
    <x v="8"/>
    <x v="2"/>
    <s v="Bookshelf"/>
    <n v="24"/>
    <n v="86691"/>
    <s v="10%"/>
    <n v="1872525.6"/>
    <x v="3"/>
    <x v="0"/>
  </r>
  <r>
    <s v="TXN0470"/>
    <x v="260"/>
    <x v="1"/>
    <x v="8"/>
    <x v="0"/>
    <s v="Shoes"/>
    <n v="10"/>
    <n v="108373"/>
    <s v="10%"/>
    <n v="975357"/>
    <x v="5"/>
    <x v="0"/>
  </r>
  <r>
    <s v="TXN0471"/>
    <x v="261"/>
    <x v="0"/>
    <x v="0"/>
    <x v="3"/>
    <s v="Milk Powder 2kg"/>
    <n v="20"/>
    <n v="146748"/>
    <s v="10%"/>
    <n v="2641464"/>
    <x v="0"/>
    <x v="0"/>
  </r>
  <r>
    <s v="TXN0472"/>
    <x v="262"/>
    <x v="0"/>
    <x v="2"/>
    <x v="3"/>
    <s v="Beverage Tin"/>
    <n v="17"/>
    <n v="5050"/>
    <s v="10%"/>
    <n v="77265"/>
    <x v="0"/>
    <x v="1"/>
  </r>
  <r>
    <s v="TXN0473"/>
    <x v="101"/>
    <x v="1"/>
    <x v="3"/>
    <x v="3"/>
    <s v="Beverage Tin"/>
    <n v="24"/>
    <n v="35413"/>
    <s v="0%"/>
    <n v="849912"/>
    <x v="3"/>
    <x v="2"/>
  </r>
  <r>
    <s v="TXN0474"/>
    <x v="225"/>
    <x v="2"/>
    <x v="4"/>
    <x v="0"/>
    <s v="Shoes"/>
    <n v="18"/>
    <n v="115573"/>
    <s v="0%"/>
    <n v="2080314"/>
    <x v="0"/>
    <x v="1"/>
  </r>
  <r>
    <s v="TXN0475"/>
    <x v="215"/>
    <x v="1"/>
    <x v="3"/>
    <x v="0"/>
    <s v="Women Dress"/>
    <n v="16"/>
    <n v="138566"/>
    <s v="0%"/>
    <n v="2217056"/>
    <x v="1"/>
    <x v="2"/>
  </r>
  <r>
    <s v="TXN0476"/>
    <x v="218"/>
    <x v="0"/>
    <x v="2"/>
    <x v="0"/>
    <s v="Jacket"/>
    <n v="24"/>
    <n v="46001"/>
    <s v="10%"/>
    <n v="993621.6"/>
    <x v="1"/>
    <x v="2"/>
  </r>
  <r>
    <s v="TXN0477"/>
    <x v="215"/>
    <x v="2"/>
    <x v="6"/>
    <x v="0"/>
    <s v="Men T-Shirt"/>
    <n v="5"/>
    <n v="134878"/>
    <s v="0%"/>
    <n v="674390"/>
    <x v="7"/>
    <x v="0"/>
  </r>
  <r>
    <s v="TXN0478"/>
    <x v="217"/>
    <x v="2"/>
    <x v="7"/>
    <x v="3"/>
    <s v="Cooking Oil 5L"/>
    <n v="14"/>
    <n v="129295"/>
    <s v="0%"/>
    <n v="1810130"/>
    <x v="2"/>
    <x v="2"/>
  </r>
  <r>
    <s v="TXN0479"/>
    <x v="241"/>
    <x v="2"/>
    <x v="4"/>
    <x v="0"/>
    <s v="Men T-Shirt"/>
    <n v="13"/>
    <n v="27262"/>
    <s v="10%"/>
    <n v="318965.4"/>
    <x v="0"/>
    <x v="0"/>
  </r>
  <r>
    <s v="TXN0480"/>
    <x v="41"/>
    <x v="0"/>
    <x v="0"/>
    <x v="3"/>
    <s v="Beverage Tin"/>
    <n v="4"/>
    <n v="131583"/>
    <s v="0%"/>
    <n v="526332"/>
    <x v="2"/>
    <x v="0"/>
  </r>
  <r>
    <s v="TXN0481"/>
    <x v="263"/>
    <x v="1"/>
    <x v="1"/>
    <x v="0"/>
    <s v="Jacket"/>
    <n v="22"/>
    <n v="44844"/>
    <s v="0%"/>
    <n v="986568"/>
    <x v="5"/>
    <x v="2"/>
  </r>
  <r>
    <s v="TXN0482"/>
    <x v="264"/>
    <x v="1"/>
    <x v="1"/>
    <x v="3"/>
    <s v="Milk Powder 2kg"/>
    <n v="13"/>
    <n v="80129"/>
    <s v="10%"/>
    <n v="937509.3"/>
    <x v="6"/>
    <x v="1"/>
  </r>
  <r>
    <s v="TXN0483"/>
    <x v="265"/>
    <x v="2"/>
    <x v="6"/>
    <x v="0"/>
    <s v="Jacket"/>
    <n v="2"/>
    <n v="119953"/>
    <s v="10%"/>
    <n v="215915.4"/>
    <x v="3"/>
    <x v="2"/>
  </r>
  <r>
    <s v="TXN0484"/>
    <x v="266"/>
    <x v="2"/>
    <x v="6"/>
    <x v="1"/>
    <s v="Laptop 15&quot;"/>
    <n v="3"/>
    <n v="148271"/>
    <s v="0%"/>
    <n v="444813"/>
    <x v="0"/>
    <x v="0"/>
  </r>
  <r>
    <s v="TXN0485"/>
    <x v="108"/>
    <x v="2"/>
    <x v="7"/>
    <x v="3"/>
    <s v="Sugar 10kg"/>
    <n v="5"/>
    <n v="76781"/>
    <s v="10%"/>
    <n v="345514.5"/>
    <x v="5"/>
    <x v="1"/>
  </r>
  <r>
    <s v="TXN0486"/>
    <x v="158"/>
    <x v="1"/>
    <x v="8"/>
    <x v="0"/>
    <s v="Jeans"/>
    <n v="23"/>
    <n v="49600"/>
    <s v="10%"/>
    <n v="1026720"/>
    <x v="5"/>
    <x v="1"/>
  </r>
  <r>
    <s v="TXN0487"/>
    <x v="36"/>
    <x v="2"/>
    <x v="6"/>
    <x v="1"/>
    <s v="Bluetooth Speaker"/>
    <n v="20"/>
    <n v="33448"/>
    <s v="10%"/>
    <n v="602064"/>
    <x v="3"/>
    <x v="1"/>
  </r>
  <r>
    <s v="TXN0488"/>
    <x v="199"/>
    <x v="1"/>
    <x v="3"/>
    <x v="0"/>
    <s v="Women Dress"/>
    <n v="10"/>
    <n v="115855"/>
    <s v="5%"/>
    <n v="1100622.5"/>
    <x v="7"/>
    <x v="2"/>
  </r>
  <r>
    <s v="TXN0489"/>
    <x v="203"/>
    <x v="1"/>
    <x v="8"/>
    <x v="1"/>
    <s v="Laptop 15&quot;"/>
    <n v="3"/>
    <n v="64413"/>
    <s v="5%"/>
    <n v="183577.05"/>
    <x v="0"/>
    <x v="0"/>
  </r>
  <r>
    <s v="TXN0490"/>
    <x v="267"/>
    <x v="0"/>
    <x v="0"/>
    <x v="2"/>
    <s v="Wooden Table"/>
    <n v="24"/>
    <n v="36660"/>
    <s v="10%"/>
    <n v="791856"/>
    <x v="1"/>
    <x v="2"/>
  </r>
  <r>
    <s v="TXN0491"/>
    <x v="15"/>
    <x v="1"/>
    <x v="8"/>
    <x v="0"/>
    <s v="Shoes"/>
    <n v="9"/>
    <n v="105979"/>
    <s v="0%"/>
    <n v="953811"/>
    <x v="4"/>
    <x v="1"/>
  </r>
  <r>
    <s v="TXN0492"/>
    <x v="136"/>
    <x v="0"/>
    <x v="5"/>
    <x v="3"/>
    <s v="Rice 25kg"/>
    <n v="2"/>
    <n v="86560"/>
    <s v="10%"/>
    <n v="155808"/>
    <x v="6"/>
    <x v="1"/>
  </r>
  <r>
    <s v="TXN0493"/>
    <x v="268"/>
    <x v="1"/>
    <x v="1"/>
    <x v="0"/>
    <s v="Men T-Shirt"/>
    <n v="9"/>
    <n v="20602"/>
    <s v="0%"/>
    <n v="185418"/>
    <x v="2"/>
    <x v="1"/>
  </r>
  <r>
    <s v="TXN0494"/>
    <x v="210"/>
    <x v="0"/>
    <x v="5"/>
    <x v="2"/>
    <s v="Sofa Set"/>
    <n v="12"/>
    <n v="97377"/>
    <s v="0%"/>
    <n v="1168524"/>
    <x v="1"/>
    <x v="2"/>
  </r>
  <r>
    <s v="TXN0495"/>
    <x v="269"/>
    <x v="0"/>
    <x v="5"/>
    <x v="1"/>
    <s v="Smartphone"/>
    <n v="15"/>
    <n v="130015"/>
    <s v="10%"/>
    <n v="1755202.5"/>
    <x v="0"/>
    <x v="2"/>
  </r>
  <r>
    <s v="TXN0496"/>
    <x v="208"/>
    <x v="1"/>
    <x v="1"/>
    <x v="2"/>
    <s v="Wardrobe"/>
    <n v="5"/>
    <n v="53106"/>
    <s v="10%"/>
    <n v="238977"/>
    <x v="0"/>
    <x v="1"/>
  </r>
  <r>
    <s v="TXN0497"/>
    <x v="210"/>
    <x v="0"/>
    <x v="5"/>
    <x v="2"/>
    <s v="Sofa Set"/>
    <n v="24"/>
    <n v="108595"/>
    <s v="5%"/>
    <n v="2475966"/>
    <x v="5"/>
    <x v="1"/>
  </r>
  <r>
    <s v="TXN0498"/>
    <x v="84"/>
    <x v="0"/>
    <x v="2"/>
    <x v="2"/>
    <s v="Wardrobe"/>
    <n v="8"/>
    <n v="138044"/>
    <s v="5%"/>
    <n v="1049134.4"/>
    <x v="4"/>
    <x v="0"/>
  </r>
  <r>
    <s v="TXN0499"/>
    <x v="270"/>
    <x v="2"/>
    <x v="6"/>
    <x v="2"/>
    <s v="Sofa Set"/>
    <n v="18"/>
    <n v="109532"/>
    <s v="0%"/>
    <n v="1971576"/>
    <x v="0"/>
    <x v="2"/>
  </r>
  <r>
    <s v="TXN0500"/>
    <x v="224"/>
    <x v="0"/>
    <x v="2"/>
    <x v="2"/>
    <s v="Wardrobe"/>
    <n v="16"/>
    <n v="137092"/>
    <s v="0%"/>
    <n v="2193472"/>
    <x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7" firstHeaderRow="1" firstDataRow="1" firstDataCol="1"/>
  <pivotFields count="13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9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16" firstHeaderRow="1" firstDataRow="1" firstDataCol="1"/>
  <pivotFields count="13">
    <pivotField showAll="0"/>
    <pivotField axis="axisRow"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2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Sales" fld="9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7" firstHeaderRow="1" firstDataRow="1" firstDataCol="1"/>
  <pivotFields count="13">
    <pivotField showAll="0"/>
    <pivotField numFmtId="164" showAll="0"/>
    <pivotField showAll="0"/>
    <pivotField showAll="0">
      <items count="10">
        <item x="2"/>
        <item x="8"/>
        <item x="4"/>
        <item x="3"/>
        <item x="1"/>
        <item x="0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0"/>
        <item x="2"/>
        <item x="1"/>
        <item t="default"/>
      </items>
    </pivotField>
    <pivotField showAll="0" defaultSubtota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9" baseField="0" baseItem="0"/>
  </dataFields>
  <chartFormats count="4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12" firstHeaderRow="1" firstDataRow="1" firstDataCol="1"/>
  <pivotFields count="13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9">
        <item x="7"/>
        <item x="3"/>
        <item x="6"/>
        <item x="1"/>
        <item x="2"/>
        <item x="0"/>
        <item x="4"/>
        <item x="5"/>
        <item t="default"/>
      </items>
    </pivotField>
    <pivotField showAll="0"/>
    <pivotField showAll="0" defaultSubtotal="0"/>
  </pivotFields>
  <rowFields count="1">
    <field x="1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Sales" fld="9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20" firstHeaderRow="1" firstDataRow="1" firstDataCol="1"/>
  <pivotFields count="13">
    <pivotField showAll="0"/>
    <pivotField numFmtId="164" showAll="0"/>
    <pivotField axis="axisRow" showAll="0">
      <items count="4">
        <item x="0"/>
        <item x="2"/>
        <item x="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 defaultSubtotal="0"/>
  </pivotFields>
  <rowFields count="2">
    <field x="4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Total Sales" fld="9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_Data" displayName="Sales_Data" ref="A1:L501" totalsRowShown="0" headerRowDxfId="3" headerRowBorderDxfId="2" tableBorderDxfId="1">
  <autoFilter ref="A1:L501" xr:uid="{00000000-0009-0000-0100-000001000000}"/>
  <tableColumns count="12">
    <tableColumn id="1" xr3:uid="{00000000-0010-0000-0000-000001000000}" name="TransactionID"/>
    <tableColumn id="2" xr3:uid="{00000000-0010-0000-0000-000002000000}" name="Date" dataDxfId="0"/>
    <tableColumn id="3" xr3:uid="{00000000-0010-0000-0000-000003000000}" name="Region"/>
    <tableColumn id="4" xr3:uid="{00000000-0010-0000-0000-000004000000}" name="Branch"/>
    <tableColumn id="5" xr3:uid="{00000000-0010-0000-0000-000005000000}" name="Product Category"/>
    <tableColumn id="6" xr3:uid="{00000000-0010-0000-0000-000006000000}" name="Product Name"/>
    <tableColumn id="7" xr3:uid="{00000000-0010-0000-0000-000007000000}" name="Units Sold"/>
    <tableColumn id="8" xr3:uid="{00000000-0010-0000-0000-000008000000}" name="Unit Price"/>
    <tableColumn id="9" xr3:uid="{00000000-0010-0000-0000-000009000000}" name="Discount"/>
    <tableColumn id="10" xr3:uid="{00000000-0010-0000-0000-00000A000000}" name="Total Sales"/>
    <tableColumn id="11" xr3:uid="{00000000-0010-0000-0000-00000B000000}" name="Salesperson"/>
    <tableColumn id="12" xr3:uid="{00000000-0010-0000-0000-00000C000000}" name="Payment Metho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7"/>
  <sheetViews>
    <sheetView workbookViewId="0">
      <selection activeCell="A3" sqref="A3"/>
    </sheetView>
  </sheetViews>
  <sheetFormatPr defaultRowHeight="15" x14ac:dyDescent="0.25"/>
  <cols>
    <col min="1" max="1" width="13.140625" style="5" bestFit="1" customWidth="1"/>
    <col min="2" max="2" width="17.28515625" style="5" bestFit="1" customWidth="1"/>
  </cols>
  <sheetData>
    <row r="3" spans="1:2" x14ac:dyDescent="0.25">
      <c r="A3" s="3" t="s">
        <v>0</v>
      </c>
      <c r="B3" t="s">
        <v>1</v>
      </c>
    </row>
    <row r="4" spans="1:2" x14ac:dyDescent="0.25">
      <c r="A4" s="4" t="s">
        <v>2</v>
      </c>
      <c r="B4">
        <v>171837782.10000011</v>
      </c>
    </row>
    <row r="5" spans="1:2" x14ac:dyDescent="0.25">
      <c r="A5" s="4" t="s">
        <v>3</v>
      </c>
      <c r="B5">
        <v>142809922.75</v>
      </c>
    </row>
    <row r="6" spans="1:2" x14ac:dyDescent="0.25">
      <c r="A6" s="4" t="s">
        <v>4</v>
      </c>
      <c r="B6">
        <v>147575199.80000001</v>
      </c>
    </row>
    <row r="7" spans="1:2" x14ac:dyDescent="0.25">
      <c r="A7" s="4" t="s">
        <v>5</v>
      </c>
      <c r="B7">
        <v>462222904.6500001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16"/>
  <sheetViews>
    <sheetView workbookViewId="0">
      <selection activeCell="A3" sqref="A3"/>
    </sheetView>
  </sheetViews>
  <sheetFormatPr defaultRowHeight="15" x14ac:dyDescent="0.25"/>
  <cols>
    <col min="1" max="1" width="13.140625" style="5" bestFit="1" customWidth="1"/>
    <col min="2" max="2" width="17.28515625" style="5" bestFit="1" customWidth="1"/>
  </cols>
  <sheetData>
    <row r="3" spans="1:2" x14ac:dyDescent="0.25">
      <c r="A3" s="3" t="s">
        <v>0</v>
      </c>
      <c r="B3" t="s">
        <v>1</v>
      </c>
    </row>
    <row r="4" spans="1:2" x14ac:dyDescent="0.25">
      <c r="A4" s="4" t="s">
        <v>6</v>
      </c>
      <c r="B4">
        <v>46759494.349999987</v>
      </c>
    </row>
    <row r="5" spans="1:2" x14ac:dyDescent="0.25">
      <c r="A5" s="4" t="s">
        <v>7</v>
      </c>
      <c r="B5">
        <v>34715491.950000003</v>
      </c>
    </row>
    <row r="6" spans="1:2" x14ac:dyDescent="0.25">
      <c r="A6" s="4" t="s">
        <v>8</v>
      </c>
      <c r="B6">
        <v>29127250.050000008</v>
      </c>
    </row>
    <row r="7" spans="1:2" x14ac:dyDescent="0.25">
      <c r="A7" s="4" t="s">
        <v>9</v>
      </c>
      <c r="B7">
        <v>44618920.849999987</v>
      </c>
    </row>
    <row r="8" spans="1:2" x14ac:dyDescent="0.25">
      <c r="A8" s="4" t="s">
        <v>10</v>
      </c>
      <c r="B8">
        <v>50120510.700000003</v>
      </c>
    </row>
    <row r="9" spans="1:2" x14ac:dyDescent="0.25">
      <c r="A9" s="4" t="s">
        <v>11</v>
      </c>
      <c r="B9">
        <v>42002812.749999993</v>
      </c>
    </row>
    <row r="10" spans="1:2" x14ac:dyDescent="0.25">
      <c r="A10" s="4" t="s">
        <v>12</v>
      </c>
      <c r="B10">
        <v>33437661.100000001</v>
      </c>
    </row>
    <row r="11" spans="1:2" x14ac:dyDescent="0.25">
      <c r="A11" s="4" t="s">
        <v>13</v>
      </c>
      <c r="B11">
        <v>43557099.400000013</v>
      </c>
    </row>
    <row r="12" spans="1:2" x14ac:dyDescent="0.25">
      <c r="A12" s="4" t="s">
        <v>14</v>
      </c>
      <c r="B12">
        <v>37637775.450000003</v>
      </c>
    </row>
    <row r="13" spans="1:2" x14ac:dyDescent="0.25">
      <c r="A13" s="4" t="s">
        <v>15</v>
      </c>
      <c r="B13">
        <v>41796140.149999999</v>
      </c>
    </row>
    <row r="14" spans="1:2" x14ac:dyDescent="0.25">
      <c r="A14" s="4" t="s">
        <v>16</v>
      </c>
      <c r="B14">
        <v>33884291.049999997</v>
      </c>
    </row>
    <row r="15" spans="1:2" x14ac:dyDescent="0.25">
      <c r="A15" s="4" t="s">
        <v>17</v>
      </c>
      <c r="B15">
        <v>24565456.850000001</v>
      </c>
    </row>
    <row r="16" spans="1:2" x14ac:dyDescent="0.25">
      <c r="A16" s="4" t="s">
        <v>5</v>
      </c>
      <c r="B16">
        <v>462222904.64999998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7"/>
  <sheetViews>
    <sheetView workbookViewId="0">
      <selection activeCell="A3" sqref="A3"/>
    </sheetView>
  </sheetViews>
  <sheetFormatPr defaultRowHeight="15" x14ac:dyDescent="0.25"/>
  <cols>
    <col min="1" max="1" width="13.140625" style="5" bestFit="1" customWidth="1"/>
    <col min="2" max="2" width="17.28515625" style="5" bestFit="1" customWidth="1"/>
  </cols>
  <sheetData>
    <row r="3" spans="1:2" x14ac:dyDescent="0.25">
      <c r="A3" s="3" t="s">
        <v>0</v>
      </c>
      <c r="B3" t="s">
        <v>1</v>
      </c>
    </row>
    <row r="4" spans="1:2" x14ac:dyDescent="0.25">
      <c r="A4" s="4" t="s">
        <v>18</v>
      </c>
      <c r="B4">
        <v>169915438.25</v>
      </c>
    </row>
    <row r="5" spans="1:2" x14ac:dyDescent="0.25">
      <c r="A5" s="4" t="s">
        <v>19</v>
      </c>
      <c r="B5">
        <v>141112424.94999999</v>
      </c>
    </row>
    <row r="6" spans="1:2" x14ac:dyDescent="0.25">
      <c r="A6" s="4" t="s">
        <v>20</v>
      </c>
      <c r="B6">
        <v>151195041.44999999</v>
      </c>
    </row>
    <row r="7" spans="1:2" x14ac:dyDescent="0.25">
      <c r="A7" s="4" t="s">
        <v>5</v>
      </c>
      <c r="B7">
        <v>462222904.64999998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12"/>
  <sheetViews>
    <sheetView workbookViewId="0">
      <selection activeCell="A3" sqref="A3"/>
    </sheetView>
  </sheetViews>
  <sheetFormatPr defaultRowHeight="15" x14ac:dyDescent="0.25"/>
  <cols>
    <col min="1" max="1" width="13.140625" style="5" bestFit="1" customWidth="1"/>
    <col min="2" max="2" width="17.28515625" style="5" bestFit="1" customWidth="1"/>
  </cols>
  <sheetData>
    <row r="3" spans="1:2" x14ac:dyDescent="0.25">
      <c r="A3" s="3" t="s">
        <v>0</v>
      </c>
      <c r="B3" t="s">
        <v>1</v>
      </c>
    </row>
    <row r="4" spans="1:2" x14ac:dyDescent="0.25">
      <c r="A4" s="4" t="s">
        <v>21</v>
      </c>
      <c r="B4">
        <v>53306619.099999987</v>
      </c>
    </row>
    <row r="5" spans="1:2" x14ac:dyDescent="0.25">
      <c r="A5" s="4" t="s">
        <v>22</v>
      </c>
      <c r="B5">
        <v>50834885.950000003</v>
      </c>
    </row>
    <row r="6" spans="1:2" x14ac:dyDescent="0.25">
      <c r="A6" s="4" t="s">
        <v>23</v>
      </c>
      <c r="B6">
        <v>61287093</v>
      </c>
    </row>
    <row r="7" spans="1:2" x14ac:dyDescent="0.25">
      <c r="A7" s="4" t="s">
        <v>24</v>
      </c>
      <c r="B7">
        <v>74351143.300000012</v>
      </c>
    </row>
    <row r="8" spans="1:2" x14ac:dyDescent="0.25">
      <c r="A8" s="4" t="s">
        <v>25</v>
      </c>
      <c r="B8">
        <v>52697800.899999999</v>
      </c>
    </row>
    <row r="9" spans="1:2" x14ac:dyDescent="0.25">
      <c r="A9" s="4" t="s">
        <v>26</v>
      </c>
      <c r="B9">
        <v>59497369.799999997</v>
      </c>
    </row>
    <row r="10" spans="1:2" x14ac:dyDescent="0.25">
      <c r="A10" s="4" t="s">
        <v>27</v>
      </c>
      <c r="B10">
        <v>37647046.799999997</v>
      </c>
    </row>
    <row r="11" spans="1:2" x14ac:dyDescent="0.25">
      <c r="A11" s="4" t="s">
        <v>28</v>
      </c>
      <c r="B11">
        <v>72600945.799999997</v>
      </c>
    </row>
    <row r="12" spans="1:2" x14ac:dyDescent="0.25">
      <c r="A12" s="4" t="s">
        <v>5</v>
      </c>
      <c r="B12">
        <v>462222904.64999998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B20"/>
  <sheetViews>
    <sheetView workbookViewId="0">
      <selection activeCell="A3" sqref="A3"/>
    </sheetView>
  </sheetViews>
  <sheetFormatPr defaultRowHeight="15" x14ac:dyDescent="0.25"/>
  <cols>
    <col min="1" max="1" width="13.140625" style="5" bestFit="1" customWidth="1"/>
    <col min="2" max="2" width="17.28515625" style="5" bestFit="1" customWidth="1"/>
  </cols>
  <sheetData>
    <row r="3" spans="1:2" x14ac:dyDescent="0.25">
      <c r="A3" s="3" t="s">
        <v>0</v>
      </c>
      <c r="B3" t="s">
        <v>1</v>
      </c>
    </row>
    <row r="4" spans="1:2" x14ac:dyDescent="0.25">
      <c r="A4" s="4" t="s">
        <v>29</v>
      </c>
      <c r="B4">
        <v>155283666.44999999</v>
      </c>
    </row>
    <row r="5" spans="1:2" x14ac:dyDescent="0.25">
      <c r="A5" s="6" t="s">
        <v>2</v>
      </c>
      <c r="B5">
        <v>60055182.149999999</v>
      </c>
    </row>
    <row r="6" spans="1:2" x14ac:dyDescent="0.25">
      <c r="A6" s="6" t="s">
        <v>3</v>
      </c>
      <c r="B6">
        <v>43673513.599999987</v>
      </c>
    </row>
    <row r="7" spans="1:2" x14ac:dyDescent="0.25">
      <c r="A7" s="6" t="s">
        <v>4</v>
      </c>
      <c r="B7">
        <v>51554970.700000003</v>
      </c>
    </row>
    <row r="8" spans="1:2" x14ac:dyDescent="0.25">
      <c r="A8" s="4" t="s">
        <v>30</v>
      </c>
      <c r="B8">
        <v>107191613.65000001</v>
      </c>
    </row>
    <row r="9" spans="1:2" x14ac:dyDescent="0.25">
      <c r="A9" s="6" t="s">
        <v>2</v>
      </c>
      <c r="B9">
        <v>40741376.099999987</v>
      </c>
    </row>
    <row r="10" spans="1:2" x14ac:dyDescent="0.25">
      <c r="A10" s="6" t="s">
        <v>3</v>
      </c>
      <c r="B10">
        <v>37944344.649999999</v>
      </c>
    </row>
    <row r="11" spans="1:2" x14ac:dyDescent="0.25">
      <c r="A11" s="6" t="s">
        <v>4</v>
      </c>
      <c r="B11">
        <v>28505892.899999999</v>
      </c>
    </row>
    <row r="12" spans="1:2" x14ac:dyDescent="0.25">
      <c r="A12" s="4" t="s">
        <v>31</v>
      </c>
      <c r="B12">
        <v>105265784.55</v>
      </c>
    </row>
    <row r="13" spans="1:2" x14ac:dyDescent="0.25">
      <c r="A13" s="6" t="s">
        <v>2</v>
      </c>
      <c r="B13">
        <v>37146531.499999993</v>
      </c>
    </row>
    <row r="14" spans="1:2" x14ac:dyDescent="0.25">
      <c r="A14" s="6" t="s">
        <v>3</v>
      </c>
      <c r="B14">
        <v>37222022.899999999</v>
      </c>
    </row>
    <row r="15" spans="1:2" x14ac:dyDescent="0.25">
      <c r="A15" s="6" t="s">
        <v>4</v>
      </c>
      <c r="B15">
        <v>30897230.149999991</v>
      </c>
    </row>
    <row r="16" spans="1:2" x14ac:dyDescent="0.25">
      <c r="A16" s="4" t="s">
        <v>32</v>
      </c>
      <c r="B16">
        <v>94481840</v>
      </c>
    </row>
    <row r="17" spans="1:2" x14ac:dyDescent="0.25">
      <c r="A17" s="6" t="s">
        <v>2</v>
      </c>
      <c r="B17">
        <v>33894692.350000001</v>
      </c>
    </row>
    <row r="18" spans="1:2" x14ac:dyDescent="0.25">
      <c r="A18" s="6" t="s">
        <v>3</v>
      </c>
      <c r="B18">
        <v>23970041.600000001</v>
      </c>
    </row>
    <row r="19" spans="1:2" x14ac:dyDescent="0.25">
      <c r="A19" s="6" t="s">
        <v>4</v>
      </c>
      <c r="B19">
        <v>36617106.049999997</v>
      </c>
    </row>
    <row r="20" spans="1:2" x14ac:dyDescent="0.25">
      <c r="A20" s="4" t="s">
        <v>5</v>
      </c>
      <c r="B20">
        <v>462222904.64999998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01"/>
  <sheetViews>
    <sheetView topLeftCell="E2" zoomScaleNormal="100" workbookViewId="0">
      <selection activeCell="G8" sqref="G8"/>
    </sheetView>
  </sheetViews>
  <sheetFormatPr defaultRowHeight="15" x14ac:dyDescent="0.25"/>
  <cols>
    <col min="1" max="1" width="15.140625" style="5" customWidth="1"/>
    <col min="2" max="2" width="23.140625" style="5" customWidth="1"/>
    <col min="3" max="3" width="12.85546875" style="5" customWidth="1"/>
    <col min="4" max="4" width="18.140625" style="5" customWidth="1"/>
    <col min="5" max="5" width="20.42578125" style="5" customWidth="1"/>
    <col min="6" max="6" width="20.140625" style="5" customWidth="1"/>
    <col min="7" max="7" width="15.28515625" style="5" customWidth="1"/>
    <col min="8" max="8" width="12.7109375" style="5" customWidth="1"/>
    <col min="9" max="9" width="10.85546875" style="5" customWidth="1"/>
    <col min="10" max="10" width="12.7109375" style="5" customWidth="1"/>
    <col min="11" max="11" width="16" style="5" customWidth="1"/>
    <col min="12" max="12" width="18.5703125" style="5" customWidth="1"/>
  </cols>
  <sheetData>
    <row r="1" spans="1:12" x14ac:dyDescent="0.25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</row>
    <row r="2" spans="1:12" x14ac:dyDescent="0.25">
      <c r="A2" t="s">
        <v>45</v>
      </c>
      <c r="B2" s="1">
        <v>45394</v>
      </c>
      <c r="C2" t="s">
        <v>2</v>
      </c>
      <c r="D2" t="s">
        <v>46</v>
      </c>
      <c r="E2" t="s">
        <v>29</v>
      </c>
      <c r="F2" t="s">
        <v>47</v>
      </c>
      <c r="G2">
        <v>20</v>
      </c>
      <c r="H2">
        <v>134932</v>
      </c>
      <c r="I2" t="s">
        <v>48</v>
      </c>
      <c r="J2">
        <v>2698640</v>
      </c>
      <c r="K2" t="s">
        <v>26</v>
      </c>
      <c r="L2" t="s">
        <v>18</v>
      </c>
    </row>
    <row r="3" spans="1:12" x14ac:dyDescent="0.25">
      <c r="A3" t="s">
        <v>49</v>
      </c>
      <c r="B3" s="1">
        <v>45562</v>
      </c>
      <c r="C3" t="s">
        <v>4</v>
      </c>
      <c r="D3" t="s">
        <v>50</v>
      </c>
      <c r="E3" t="s">
        <v>29</v>
      </c>
      <c r="F3" t="s">
        <v>51</v>
      </c>
      <c r="G3">
        <v>11</v>
      </c>
      <c r="H3">
        <v>122879</v>
      </c>
      <c r="I3" t="s">
        <v>52</v>
      </c>
      <c r="J3">
        <v>1216502.1000000001</v>
      </c>
      <c r="K3" t="s">
        <v>24</v>
      </c>
      <c r="L3" t="s">
        <v>20</v>
      </c>
    </row>
    <row r="4" spans="1:12" x14ac:dyDescent="0.25">
      <c r="A4" t="s">
        <v>53</v>
      </c>
      <c r="B4" s="1">
        <v>45480</v>
      </c>
      <c r="C4" t="s">
        <v>2</v>
      </c>
      <c r="D4" t="s">
        <v>54</v>
      </c>
      <c r="E4" t="s">
        <v>29</v>
      </c>
      <c r="F4" t="s">
        <v>55</v>
      </c>
      <c r="G4">
        <v>21</v>
      </c>
      <c r="H4">
        <v>57886</v>
      </c>
      <c r="I4" t="s">
        <v>52</v>
      </c>
      <c r="J4">
        <v>1094045.3999999999</v>
      </c>
      <c r="K4" t="s">
        <v>24</v>
      </c>
      <c r="L4" t="s">
        <v>18</v>
      </c>
    </row>
    <row r="5" spans="1:12" x14ac:dyDescent="0.25">
      <c r="A5" t="s">
        <v>56</v>
      </c>
      <c r="B5" s="1">
        <v>45413</v>
      </c>
      <c r="C5" t="s">
        <v>4</v>
      </c>
      <c r="D5" t="s">
        <v>57</v>
      </c>
      <c r="E5" t="s">
        <v>29</v>
      </c>
      <c r="F5" t="s">
        <v>47</v>
      </c>
      <c r="G5">
        <v>19</v>
      </c>
      <c r="H5">
        <v>90498</v>
      </c>
      <c r="I5" t="s">
        <v>52</v>
      </c>
      <c r="J5">
        <v>1547515.8</v>
      </c>
      <c r="K5" t="s">
        <v>25</v>
      </c>
      <c r="L5" t="s">
        <v>20</v>
      </c>
    </row>
    <row r="6" spans="1:12" x14ac:dyDescent="0.25">
      <c r="A6" t="s">
        <v>58</v>
      </c>
      <c r="B6" s="1">
        <v>45379</v>
      </c>
      <c r="C6" t="s">
        <v>3</v>
      </c>
      <c r="D6" t="s">
        <v>59</v>
      </c>
      <c r="E6" t="s">
        <v>29</v>
      </c>
      <c r="F6" t="s">
        <v>47</v>
      </c>
      <c r="G6">
        <v>21</v>
      </c>
      <c r="H6">
        <v>19023</v>
      </c>
      <c r="I6" t="s">
        <v>60</v>
      </c>
      <c r="J6">
        <v>379508.85</v>
      </c>
      <c r="K6" t="s">
        <v>24</v>
      </c>
      <c r="L6" t="s">
        <v>18</v>
      </c>
    </row>
    <row r="7" spans="1:12" x14ac:dyDescent="0.25">
      <c r="A7" t="s">
        <v>61</v>
      </c>
      <c r="B7" s="1">
        <v>45422</v>
      </c>
      <c r="C7" t="s">
        <v>2</v>
      </c>
      <c r="D7" t="s">
        <v>62</v>
      </c>
      <c r="E7" t="s">
        <v>30</v>
      </c>
      <c r="F7" t="s">
        <v>63</v>
      </c>
      <c r="G7">
        <v>22</v>
      </c>
      <c r="H7">
        <v>67820</v>
      </c>
      <c r="I7" t="s">
        <v>48</v>
      </c>
      <c r="J7">
        <v>1492040</v>
      </c>
      <c r="K7" t="s">
        <v>24</v>
      </c>
      <c r="L7" t="s">
        <v>19</v>
      </c>
    </row>
    <row r="8" spans="1:12" x14ac:dyDescent="0.25">
      <c r="A8" t="s">
        <v>64</v>
      </c>
      <c r="B8" s="1">
        <v>45549</v>
      </c>
      <c r="C8" t="s">
        <v>2</v>
      </c>
      <c r="D8" t="s">
        <v>46</v>
      </c>
      <c r="E8" t="s">
        <v>31</v>
      </c>
      <c r="F8" t="s">
        <v>65</v>
      </c>
      <c r="G8">
        <v>24</v>
      </c>
      <c r="H8">
        <v>67925</v>
      </c>
      <c r="I8" t="s">
        <v>60</v>
      </c>
      <c r="J8">
        <v>1548690</v>
      </c>
      <c r="K8" t="s">
        <v>26</v>
      </c>
      <c r="L8" t="s">
        <v>18</v>
      </c>
    </row>
    <row r="9" spans="1:12" x14ac:dyDescent="0.25">
      <c r="A9" t="s">
        <v>66</v>
      </c>
      <c r="B9" s="1">
        <v>45585</v>
      </c>
      <c r="C9" t="s">
        <v>3</v>
      </c>
      <c r="D9" t="s">
        <v>67</v>
      </c>
      <c r="E9" t="s">
        <v>29</v>
      </c>
      <c r="F9" t="s">
        <v>55</v>
      </c>
      <c r="G9">
        <v>2</v>
      </c>
      <c r="H9">
        <v>8311</v>
      </c>
      <c r="I9" t="s">
        <v>52</v>
      </c>
      <c r="J9">
        <v>14959.8</v>
      </c>
      <c r="K9" t="s">
        <v>22</v>
      </c>
      <c r="L9" t="s">
        <v>20</v>
      </c>
    </row>
    <row r="10" spans="1:12" x14ac:dyDescent="0.25">
      <c r="A10" t="s">
        <v>68</v>
      </c>
      <c r="B10" s="1">
        <v>45568</v>
      </c>
      <c r="C10" t="s">
        <v>3</v>
      </c>
      <c r="D10" t="s">
        <v>69</v>
      </c>
      <c r="E10" t="s">
        <v>32</v>
      </c>
      <c r="F10" t="s">
        <v>70</v>
      </c>
      <c r="G10">
        <v>1</v>
      </c>
      <c r="H10">
        <v>88305</v>
      </c>
      <c r="I10" t="s">
        <v>60</v>
      </c>
      <c r="J10">
        <v>83889.75</v>
      </c>
      <c r="K10" t="s">
        <v>27</v>
      </c>
      <c r="L10" t="s">
        <v>19</v>
      </c>
    </row>
    <row r="11" spans="1:12" x14ac:dyDescent="0.25">
      <c r="A11" t="s">
        <v>71</v>
      </c>
      <c r="B11" s="1">
        <v>45313</v>
      </c>
      <c r="C11" t="s">
        <v>4</v>
      </c>
      <c r="D11" t="s">
        <v>57</v>
      </c>
      <c r="E11" t="s">
        <v>29</v>
      </c>
      <c r="F11" t="s">
        <v>72</v>
      </c>
      <c r="G11">
        <v>12</v>
      </c>
      <c r="H11">
        <v>133608</v>
      </c>
      <c r="I11" t="s">
        <v>60</v>
      </c>
      <c r="J11">
        <v>1523131.2</v>
      </c>
      <c r="K11" t="s">
        <v>28</v>
      </c>
      <c r="L11" t="s">
        <v>18</v>
      </c>
    </row>
    <row r="12" spans="1:12" x14ac:dyDescent="0.25">
      <c r="A12" t="s">
        <v>73</v>
      </c>
      <c r="B12" s="1">
        <v>45350</v>
      </c>
      <c r="C12" t="s">
        <v>2</v>
      </c>
      <c r="D12" t="s">
        <v>46</v>
      </c>
      <c r="E12" t="s">
        <v>29</v>
      </c>
      <c r="F12" t="s">
        <v>55</v>
      </c>
      <c r="G12">
        <v>10</v>
      </c>
      <c r="H12">
        <v>133523</v>
      </c>
      <c r="I12" t="s">
        <v>52</v>
      </c>
      <c r="J12">
        <v>1201707</v>
      </c>
      <c r="K12" t="s">
        <v>22</v>
      </c>
      <c r="L12" t="s">
        <v>18</v>
      </c>
    </row>
    <row r="13" spans="1:12" x14ac:dyDescent="0.25">
      <c r="A13" t="s">
        <v>74</v>
      </c>
      <c r="B13" s="1">
        <v>45479</v>
      </c>
      <c r="C13" t="s">
        <v>2</v>
      </c>
      <c r="D13" t="s">
        <v>62</v>
      </c>
      <c r="E13" t="s">
        <v>31</v>
      </c>
      <c r="F13" t="s">
        <v>75</v>
      </c>
      <c r="G13">
        <v>16</v>
      </c>
      <c r="H13">
        <v>68725</v>
      </c>
      <c r="I13" t="s">
        <v>60</v>
      </c>
      <c r="J13">
        <v>1044620</v>
      </c>
      <c r="K13" t="s">
        <v>24</v>
      </c>
      <c r="L13" t="s">
        <v>20</v>
      </c>
    </row>
    <row r="14" spans="1:12" x14ac:dyDescent="0.25">
      <c r="A14" t="s">
        <v>76</v>
      </c>
      <c r="B14" s="1">
        <v>45466</v>
      </c>
      <c r="C14" t="s">
        <v>2</v>
      </c>
      <c r="D14" t="s">
        <v>62</v>
      </c>
      <c r="E14" t="s">
        <v>29</v>
      </c>
      <c r="F14" t="s">
        <v>47</v>
      </c>
      <c r="G14">
        <v>19</v>
      </c>
      <c r="H14">
        <v>70435</v>
      </c>
      <c r="I14" t="s">
        <v>52</v>
      </c>
      <c r="J14">
        <v>1204438.5</v>
      </c>
      <c r="K14" t="s">
        <v>28</v>
      </c>
      <c r="L14" t="s">
        <v>18</v>
      </c>
    </row>
    <row r="15" spans="1:12" x14ac:dyDescent="0.25">
      <c r="A15" t="s">
        <v>77</v>
      </c>
      <c r="B15" s="1">
        <v>45346</v>
      </c>
      <c r="C15" t="s">
        <v>3</v>
      </c>
      <c r="D15" t="s">
        <v>59</v>
      </c>
      <c r="E15" t="s">
        <v>29</v>
      </c>
      <c r="F15" t="s">
        <v>72</v>
      </c>
      <c r="G15">
        <v>20</v>
      </c>
      <c r="H15">
        <v>34551</v>
      </c>
      <c r="I15" t="s">
        <v>52</v>
      </c>
      <c r="J15">
        <v>621918</v>
      </c>
      <c r="K15" t="s">
        <v>28</v>
      </c>
      <c r="L15" t="s">
        <v>18</v>
      </c>
    </row>
    <row r="16" spans="1:12" x14ac:dyDescent="0.25">
      <c r="A16" t="s">
        <v>78</v>
      </c>
      <c r="B16" s="1">
        <v>45422</v>
      </c>
      <c r="C16" t="s">
        <v>3</v>
      </c>
      <c r="D16" t="s">
        <v>59</v>
      </c>
      <c r="E16" t="s">
        <v>31</v>
      </c>
      <c r="F16" t="s">
        <v>65</v>
      </c>
      <c r="G16">
        <v>5</v>
      </c>
      <c r="H16">
        <v>6890</v>
      </c>
      <c r="I16" t="s">
        <v>60</v>
      </c>
      <c r="J16">
        <v>32727.5</v>
      </c>
      <c r="K16" t="s">
        <v>28</v>
      </c>
      <c r="L16" t="s">
        <v>18</v>
      </c>
    </row>
    <row r="17" spans="1:12" x14ac:dyDescent="0.25">
      <c r="A17" t="s">
        <v>79</v>
      </c>
      <c r="B17" s="1">
        <v>45426</v>
      </c>
      <c r="C17" t="s">
        <v>2</v>
      </c>
      <c r="D17" t="s">
        <v>62</v>
      </c>
      <c r="E17" t="s">
        <v>31</v>
      </c>
      <c r="F17" t="s">
        <v>80</v>
      </c>
      <c r="G17">
        <v>21</v>
      </c>
      <c r="H17">
        <v>90313</v>
      </c>
      <c r="I17" t="s">
        <v>60</v>
      </c>
      <c r="J17">
        <v>1801744.35</v>
      </c>
      <c r="K17" t="s">
        <v>26</v>
      </c>
      <c r="L17" t="s">
        <v>20</v>
      </c>
    </row>
    <row r="18" spans="1:12" x14ac:dyDescent="0.25">
      <c r="A18" t="s">
        <v>81</v>
      </c>
      <c r="B18" s="1">
        <v>45380</v>
      </c>
      <c r="C18" t="s">
        <v>3</v>
      </c>
      <c r="D18" t="s">
        <v>69</v>
      </c>
      <c r="E18" t="s">
        <v>31</v>
      </c>
      <c r="F18" t="s">
        <v>65</v>
      </c>
      <c r="G18">
        <v>14</v>
      </c>
      <c r="H18">
        <v>71148</v>
      </c>
      <c r="I18" t="s">
        <v>52</v>
      </c>
      <c r="J18">
        <v>896464.8</v>
      </c>
      <c r="K18" t="s">
        <v>26</v>
      </c>
      <c r="L18" t="s">
        <v>19</v>
      </c>
    </row>
    <row r="19" spans="1:12" x14ac:dyDescent="0.25">
      <c r="A19" t="s">
        <v>82</v>
      </c>
      <c r="B19" s="1">
        <v>45631</v>
      </c>
      <c r="C19" t="s">
        <v>4</v>
      </c>
      <c r="D19" t="s">
        <v>57</v>
      </c>
      <c r="E19" t="s">
        <v>32</v>
      </c>
      <c r="F19" t="s">
        <v>70</v>
      </c>
      <c r="G19">
        <v>15</v>
      </c>
      <c r="H19">
        <v>127358</v>
      </c>
      <c r="I19" t="s">
        <v>60</v>
      </c>
      <c r="J19">
        <v>1814851.5</v>
      </c>
      <c r="K19" t="s">
        <v>28</v>
      </c>
      <c r="L19" t="s">
        <v>18</v>
      </c>
    </row>
    <row r="20" spans="1:12" x14ac:dyDescent="0.25">
      <c r="A20" t="s">
        <v>83</v>
      </c>
      <c r="B20" s="1">
        <v>45555</v>
      </c>
      <c r="C20" t="s">
        <v>3</v>
      </c>
      <c r="D20" t="s">
        <v>67</v>
      </c>
      <c r="E20" t="s">
        <v>29</v>
      </c>
      <c r="F20" t="s">
        <v>55</v>
      </c>
      <c r="G20">
        <v>15</v>
      </c>
      <c r="H20">
        <v>109530</v>
      </c>
      <c r="I20" t="s">
        <v>48</v>
      </c>
      <c r="J20">
        <v>1642950</v>
      </c>
      <c r="K20" t="s">
        <v>23</v>
      </c>
      <c r="L20" t="s">
        <v>18</v>
      </c>
    </row>
    <row r="21" spans="1:12" x14ac:dyDescent="0.25">
      <c r="A21" t="s">
        <v>84</v>
      </c>
      <c r="B21" s="1">
        <v>45497</v>
      </c>
      <c r="C21" t="s">
        <v>2</v>
      </c>
      <c r="D21" t="s">
        <v>46</v>
      </c>
      <c r="E21" t="s">
        <v>30</v>
      </c>
      <c r="F21" t="s">
        <v>85</v>
      </c>
      <c r="G21">
        <v>17</v>
      </c>
      <c r="H21">
        <v>22457</v>
      </c>
      <c r="I21" t="s">
        <v>52</v>
      </c>
      <c r="J21">
        <v>343592.1</v>
      </c>
      <c r="K21" t="s">
        <v>24</v>
      </c>
      <c r="L21" t="s">
        <v>19</v>
      </c>
    </row>
    <row r="22" spans="1:12" x14ac:dyDescent="0.25">
      <c r="A22" t="s">
        <v>86</v>
      </c>
      <c r="B22" s="1">
        <v>45345</v>
      </c>
      <c r="C22" t="s">
        <v>3</v>
      </c>
      <c r="D22" t="s">
        <v>67</v>
      </c>
      <c r="E22" t="s">
        <v>32</v>
      </c>
      <c r="F22" t="s">
        <v>87</v>
      </c>
      <c r="G22">
        <v>10</v>
      </c>
      <c r="H22">
        <v>55995</v>
      </c>
      <c r="I22" t="s">
        <v>48</v>
      </c>
      <c r="J22">
        <v>559950</v>
      </c>
      <c r="K22" t="s">
        <v>26</v>
      </c>
      <c r="L22" t="s">
        <v>19</v>
      </c>
    </row>
    <row r="23" spans="1:12" x14ac:dyDescent="0.25">
      <c r="A23" t="s">
        <v>88</v>
      </c>
      <c r="B23" s="1">
        <v>45601</v>
      </c>
      <c r="C23" t="s">
        <v>2</v>
      </c>
      <c r="D23" t="s">
        <v>54</v>
      </c>
      <c r="E23" t="s">
        <v>29</v>
      </c>
      <c r="F23" t="s">
        <v>89</v>
      </c>
      <c r="G23">
        <v>18</v>
      </c>
      <c r="H23">
        <v>40065</v>
      </c>
      <c r="I23" t="s">
        <v>48</v>
      </c>
      <c r="J23">
        <v>721170</v>
      </c>
      <c r="K23" t="s">
        <v>25</v>
      </c>
      <c r="L23" t="s">
        <v>19</v>
      </c>
    </row>
    <row r="24" spans="1:12" x14ac:dyDescent="0.25">
      <c r="A24" t="s">
        <v>90</v>
      </c>
      <c r="B24" s="1">
        <v>45561</v>
      </c>
      <c r="C24" t="s">
        <v>2</v>
      </c>
      <c r="D24" t="s">
        <v>62</v>
      </c>
      <c r="E24" t="s">
        <v>30</v>
      </c>
      <c r="F24" t="s">
        <v>91</v>
      </c>
      <c r="G24">
        <v>16</v>
      </c>
      <c r="H24">
        <v>14534</v>
      </c>
      <c r="I24" t="s">
        <v>60</v>
      </c>
      <c r="J24">
        <v>220916.8</v>
      </c>
      <c r="K24" t="s">
        <v>22</v>
      </c>
      <c r="L24" t="s">
        <v>18</v>
      </c>
    </row>
    <row r="25" spans="1:12" x14ac:dyDescent="0.25">
      <c r="A25" t="s">
        <v>92</v>
      </c>
      <c r="B25" s="1">
        <v>45506</v>
      </c>
      <c r="C25" t="s">
        <v>4</v>
      </c>
      <c r="D25" t="s">
        <v>93</v>
      </c>
      <c r="E25" t="s">
        <v>30</v>
      </c>
      <c r="F25" t="s">
        <v>63</v>
      </c>
      <c r="G25">
        <v>8</v>
      </c>
      <c r="H25">
        <v>26247</v>
      </c>
      <c r="I25" t="s">
        <v>60</v>
      </c>
      <c r="J25">
        <v>199477.2</v>
      </c>
      <c r="K25" t="s">
        <v>26</v>
      </c>
      <c r="L25" t="s">
        <v>20</v>
      </c>
    </row>
    <row r="26" spans="1:12" x14ac:dyDescent="0.25">
      <c r="A26" t="s">
        <v>94</v>
      </c>
      <c r="B26" s="1">
        <v>45528</v>
      </c>
      <c r="C26" t="s">
        <v>3</v>
      </c>
      <c r="D26" t="s">
        <v>59</v>
      </c>
      <c r="E26" t="s">
        <v>29</v>
      </c>
      <c r="F26" t="s">
        <v>72</v>
      </c>
      <c r="G26">
        <v>18</v>
      </c>
      <c r="H26">
        <v>85798</v>
      </c>
      <c r="I26" t="s">
        <v>48</v>
      </c>
      <c r="J26">
        <v>1544364</v>
      </c>
      <c r="K26" t="s">
        <v>24</v>
      </c>
      <c r="L26" t="s">
        <v>18</v>
      </c>
    </row>
    <row r="27" spans="1:12" x14ac:dyDescent="0.25">
      <c r="A27" t="s">
        <v>95</v>
      </c>
      <c r="B27" s="1">
        <v>45344</v>
      </c>
      <c r="C27" t="s">
        <v>2</v>
      </c>
      <c r="D27" t="s">
        <v>54</v>
      </c>
      <c r="E27" t="s">
        <v>32</v>
      </c>
      <c r="F27" t="s">
        <v>96</v>
      </c>
      <c r="G27">
        <v>24</v>
      </c>
      <c r="H27">
        <v>15185</v>
      </c>
      <c r="I27" t="s">
        <v>60</v>
      </c>
      <c r="J27">
        <v>346218</v>
      </c>
      <c r="K27" t="s">
        <v>28</v>
      </c>
      <c r="L27" t="s">
        <v>20</v>
      </c>
    </row>
    <row r="28" spans="1:12" x14ac:dyDescent="0.25">
      <c r="A28" t="s">
        <v>97</v>
      </c>
      <c r="B28" s="1">
        <v>45508</v>
      </c>
      <c r="C28" t="s">
        <v>4</v>
      </c>
      <c r="D28" t="s">
        <v>57</v>
      </c>
      <c r="E28" t="s">
        <v>31</v>
      </c>
      <c r="F28" t="s">
        <v>98</v>
      </c>
      <c r="G28">
        <v>13</v>
      </c>
      <c r="H28">
        <v>41044</v>
      </c>
      <c r="I28" t="s">
        <v>60</v>
      </c>
      <c r="J28">
        <v>506893.4</v>
      </c>
      <c r="K28" t="s">
        <v>23</v>
      </c>
      <c r="L28" t="s">
        <v>18</v>
      </c>
    </row>
    <row r="29" spans="1:12" x14ac:dyDescent="0.25">
      <c r="A29" t="s">
        <v>99</v>
      </c>
      <c r="B29" s="1">
        <v>45306</v>
      </c>
      <c r="C29" t="s">
        <v>2</v>
      </c>
      <c r="D29" t="s">
        <v>54</v>
      </c>
      <c r="E29" t="s">
        <v>31</v>
      </c>
      <c r="F29" t="s">
        <v>98</v>
      </c>
      <c r="G29">
        <v>13</v>
      </c>
      <c r="H29">
        <v>117752</v>
      </c>
      <c r="I29" t="s">
        <v>48</v>
      </c>
      <c r="J29">
        <v>1530776</v>
      </c>
      <c r="K29" t="s">
        <v>26</v>
      </c>
      <c r="L29" t="s">
        <v>20</v>
      </c>
    </row>
    <row r="30" spans="1:12" x14ac:dyDescent="0.25">
      <c r="A30" t="s">
        <v>100</v>
      </c>
      <c r="B30" s="1">
        <v>45636</v>
      </c>
      <c r="C30" t="s">
        <v>4</v>
      </c>
      <c r="D30" t="s">
        <v>50</v>
      </c>
      <c r="E30" t="s">
        <v>29</v>
      </c>
      <c r="F30" t="s">
        <v>47</v>
      </c>
      <c r="G30">
        <v>7</v>
      </c>
      <c r="H30">
        <v>5568</v>
      </c>
      <c r="I30" t="s">
        <v>60</v>
      </c>
      <c r="J30">
        <v>37027.199999999997</v>
      </c>
      <c r="K30" t="s">
        <v>27</v>
      </c>
      <c r="L30" t="s">
        <v>18</v>
      </c>
    </row>
    <row r="31" spans="1:12" x14ac:dyDescent="0.25">
      <c r="A31" t="s">
        <v>101</v>
      </c>
      <c r="B31" s="1">
        <v>45635</v>
      </c>
      <c r="C31" t="s">
        <v>2</v>
      </c>
      <c r="D31" t="s">
        <v>62</v>
      </c>
      <c r="E31" t="s">
        <v>31</v>
      </c>
      <c r="F31" t="s">
        <v>75</v>
      </c>
      <c r="G31">
        <v>1</v>
      </c>
      <c r="H31">
        <v>136767</v>
      </c>
      <c r="I31" t="s">
        <v>60</v>
      </c>
      <c r="J31">
        <v>129928.65</v>
      </c>
      <c r="K31" t="s">
        <v>22</v>
      </c>
      <c r="L31" t="s">
        <v>20</v>
      </c>
    </row>
    <row r="32" spans="1:12" x14ac:dyDescent="0.25">
      <c r="A32" t="s">
        <v>102</v>
      </c>
      <c r="B32" s="1">
        <v>45354</v>
      </c>
      <c r="C32" t="s">
        <v>2</v>
      </c>
      <c r="D32" t="s">
        <v>54</v>
      </c>
      <c r="E32" t="s">
        <v>31</v>
      </c>
      <c r="F32" t="s">
        <v>98</v>
      </c>
      <c r="G32">
        <v>11</v>
      </c>
      <c r="H32">
        <v>42504</v>
      </c>
      <c r="I32" t="s">
        <v>52</v>
      </c>
      <c r="J32">
        <v>420789.6</v>
      </c>
      <c r="K32" t="s">
        <v>23</v>
      </c>
      <c r="L32" t="s">
        <v>20</v>
      </c>
    </row>
    <row r="33" spans="1:12" x14ac:dyDescent="0.25">
      <c r="A33" t="s">
        <v>103</v>
      </c>
      <c r="B33" s="1">
        <v>45454</v>
      </c>
      <c r="C33" t="s">
        <v>4</v>
      </c>
      <c r="D33" t="s">
        <v>93</v>
      </c>
      <c r="E33" t="s">
        <v>32</v>
      </c>
      <c r="F33" t="s">
        <v>96</v>
      </c>
      <c r="G33">
        <v>3</v>
      </c>
      <c r="H33">
        <v>132312</v>
      </c>
      <c r="I33" t="s">
        <v>60</v>
      </c>
      <c r="J33">
        <v>377089.2</v>
      </c>
      <c r="K33" t="s">
        <v>21</v>
      </c>
      <c r="L33" t="s">
        <v>19</v>
      </c>
    </row>
    <row r="34" spans="1:12" x14ac:dyDescent="0.25">
      <c r="A34" t="s">
        <v>104</v>
      </c>
      <c r="B34" s="1">
        <v>45552</v>
      </c>
      <c r="C34" t="s">
        <v>4</v>
      </c>
      <c r="D34" t="s">
        <v>57</v>
      </c>
      <c r="E34" t="s">
        <v>30</v>
      </c>
      <c r="F34" t="s">
        <v>63</v>
      </c>
      <c r="G34">
        <v>10</v>
      </c>
      <c r="H34">
        <v>29854</v>
      </c>
      <c r="I34" t="s">
        <v>48</v>
      </c>
      <c r="J34">
        <v>298540</v>
      </c>
      <c r="K34" t="s">
        <v>28</v>
      </c>
      <c r="L34" t="s">
        <v>18</v>
      </c>
    </row>
    <row r="35" spans="1:12" x14ac:dyDescent="0.25">
      <c r="A35" t="s">
        <v>105</v>
      </c>
      <c r="B35" s="1">
        <v>45332</v>
      </c>
      <c r="C35" t="s">
        <v>4</v>
      </c>
      <c r="D35" t="s">
        <v>50</v>
      </c>
      <c r="E35" t="s">
        <v>31</v>
      </c>
      <c r="F35" t="s">
        <v>106</v>
      </c>
      <c r="G35">
        <v>7</v>
      </c>
      <c r="H35">
        <v>11392</v>
      </c>
      <c r="I35" t="s">
        <v>48</v>
      </c>
      <c r="J35">
        <v>79744</v>
      </c>
      <c r="K35" t="s">
        <v>27</v>
      </c>
      <c r="L35" t="s">
        <v>19</v>
      </c>
    </row>
    <row r="36" spans="1:12" x14ac:dyDescent="0.25">
      <c r="A36" t="s">
        <v>107</v>
      </c>
      <c r="B36" s="1">
        <v>45619</v>
      </c>
      <c r="C36" t="s">
        <v>3</v>
      </c>
      <c r="D36" t="s">
        <v>59</v>
      </c>
      <c r="E36" t="s">
        <v>29</v>
      </c>
      <c r="F36" t="s">
        <v>51</v>
      </c>
      <c r="G36">
        <v>12</v>
      </c>
      <c r="H36">
        <v>116569</v>
      </c>
      <c r="I36" t="s">
        <v>48</v>
      </c>
      <c r="J36">
        <v>1398828</v>
      </c>
      <c r="K36" t="s">
        <v>24</v>
      </c>
      <c r="L36" t="s">
        <v>20</v>
      </c>
    </row>
    <row r="37" spans="1:12" x14ac:dyDescent="0.25">
      <c r="A37" t="s">
        <v>108</v>
      </c>
      <c r="B37" s="1">
        <v>45324</v>
      </c>
      <c r="C37" t="s">
        <v>2</v>
      </c>
      <c r="D37" t="s">
        <v>46</v>
      </c>
      <c r="E37" t="s">
        <v>32</v>
      </c>
      <c r="F37" t="s">
        <v>109</v>
      </c>
      <c r="G37">
        <v>16</v>
      </c>
      <c r="H37">
        <v>130478</v>
      </c>
      <c r="I37" t="s">
        <v>52</v>
      </c>
      <c r="J37">
        <v>1878883.2</v>
      </c>
      <c r="K37" t="s">
        <v>23</v>
      </c>
      <c r="L37" t="s">
        <v>19</v>
      </c>
    </row>
    <row r="38" spans="1:12" x14ac:dyDescent="0.25">
      <c r="A38" t="s">
        <v>110</v>
      </c>
      <c r="B38" s="1">
        <v>45353</v>
      </c>
      <c r="C38" t="s">
        <v>4</v>
      </c>
      <c r="D38" t="s">
        <v>50</v>
      </c>
      <c r="E38" t="s">
        <v>29</v>
      </c>
      <c r="F38" t="s">
        <v>55</v>
      </c>
      <c r="G38">
        <v>24</v>
      </c>
      <c r="H38">
        <v>126684</v>
      </c>
      <c r="I38" t="s">
        <v>60</v>
      </c>
      <c r="J38">
        <v>2888395.2</v>
      </c>
      <c r="K38" t="s">
        <v>24</v>
      </c>
      <c r="L38" t="s">
        <v>20</v>
      </c>
    </row>
    <row r="39" spans="1:12" x14ac:dyDescent="0.25">
      <c r="A39" t="s">
        <v>111</v>
      </c>
      <c r="B39" s="1">
        <v>45390</v>
      </c>
      <c r="C39" t="s">
        <v>3</v>
      </c>
      <c r="D39" t="s">
        <v>69</v>
      </c>
      <c r="E39" t="s">
        <v>30</v>
      </c>
      <c r="F39" t="s">
        <v>112</v>
      </c>
      <c r="G39">
        <v>12</v>
      </c>
      <c r="H39">
        <v>13965</v>
      </c>
      <c r="I39" t="s">
        <v>48</v>
      </c>
      <c r="J39">
        <v>167580</v>
      </c>
      <c r="K39" t="s">
        <v>25</v>
      </c>
      <c r="L39" t="s">
        <v>20</v>
      </c>
    </row>
    <row r="40" spans="1:12" x14ac:dyDescent="0.25">
      <c r="A40" t="s">
        <v>113</v>
      </c>
      <c r="B40" s="1">
        <v>45326</v>
      </c>
      <c r="C40" t="s">
        <v>3</v>
      </c>
      <c r="D40" t="s">
        <v>69</v>
      </c>
      <c r="E40" t="s">
        <v>30</v>
      </c>
      <c r="F40" t="s">
        <v>112</v>
      </c>
      <c r="G40">
        <v>1</v>
      </c>
      <c r="H40">
        <v>116252</v>
      </c>
      <c r="I40" t="s">
        <v>60</v>
      </c>
      <c r="J40">
        <v>110439.4</v>
      </c>
      <c r="K40" t="s">
        <v>28</v>
      </c>
      <c r="L40" t="s">
        <v>19</v>
      </c>
    </row>
    <row r="41" spans="1:12" x14ac:dyDescent="0.25">
      <c r="A41" t="s">
        <v>114</v>
      </c>
      <c r="B41" s="1">
        <v>45422</v>
      </c>
      <c r="C41" t="s">
        <v>2</v>
      </c>
      <c r="D41" t="s">
        <v>62</v>
      </c>
      <c r="E41" t="s">
        <v>29</v>
      </c>
      <c r="F41" t="s">
        <v>47</v>
      </c>
      <c r="G41">
        <v>1</v>
      </c>
      <c r="H41">
        <v>101806</v>
      </c>
      <c r="I41" t="s">
        <v>60</v>
      </c>
      <c r="J41">
        <v>96715.7</v>
      </c>
      <c r="K41" t="s">
        <v>25</v>
      </c>
      <c r="L41" t="s">
        <v>18</v>
      </c>
    </row>
    <row r="42" spans="1:12" x14ac:dyDescent="0.25">
      <c r="A42" t="s">
        <v>115</v>
      </c>
      <c r="B42" s="1">
        <v>45546</v>
      </c>
      <c r="C42" t="s">
        <v>2</v>
      </c>
      <c r="D42" t="s">
        <v>54</v>
      </c>
      <c r="E42" t="s">
        <v>29</v>
      </c>
      <c r="F42" t="s">
        <v>72</v>
      </c>
      <c r="G42">
        <v>14</v>
      </c>
      <c r="H42">
        <v>93982</v>
      </c>
      <c r="I42" t="s">
        <v>60</v>
      </c>
      <c r="J42">
        <v>1249960.6000000001</v>
      </c>
      <c r="K42" t="s">
        <v>28</v>
      </c>
      <c r="L42" t="s">
        <v>19</v>
      </c>
    </row>
    <row r="43" spans="1:12" x14ac:dyDescent="0.25">
      <c r="A43" t="s">
        <v>116</v>
      </c>
      <c r="B43" s="1">
        <v>45574</v>
      </c>
      <c r="C43" t="s">
        <v>3</v>
      </c>
      <c r="D43" t="s">
        <v>69</v>
      </c>
      <c r="E43" t="s">
        <v>32</v>
      </c>
      <c r="F43" t="s">
        <v>96</v>
      </c>
      <c r="G43">
        <v>9</v>
      </c>
      <c r="H43">
        <v>134278</v>
      </c>
      <c r="I43" t="s">
        <v>52</v>
      </c>
      <c r="J43">
        <v>1087651.8</v>
      </c>
      <c r="K43" t="s">
        <v>23</v>
      </c>
      <c r="L43" t="s">
        <v>18</v>
      </c>
    </row>
    <row r="44" spans="1:12" x14ac:dyDescent="0.25">
      <c r="A44" t="s">
        <v>117</v>
      </c>
      <c r="B44" s="1">
        <v>45306</v>
      </c>
      <c r="C44" t="s">
        <v>4</v>
      </c>
      <c r="D44" t="s">
        <v>50</v>
      </c>
      <c r="E44" t="s">
        <v>29</v>
      </c>
      <c r="F44" t="s">
        <v>72</v>
      </c>
      <c r="G44">
        <v>10</v>
      </c>
      <c r="H44">
        <v>26419</v>
      </c>
      <c r="I44" t="s">
        <v>48</v>
      </c>
      <c r="J44">
        <v>264190</v>
      </c>
      <c r="K44" t="s">
        <v>22</v>
      </c>
      <c r="L44" t="s">
        <v>18</v>
      </c>
    </row>
    <row r="45" spans="1:12" x14ac:dyDescent="0.25">
      <c r="A45" t="s">
        <v>118</v>
      </c>
      <c r="B45" s="1">
        <v>45470</v>
      </c>
      <c r="C45" t="s">
        <v>2</v>
      </c>
      <c r="D45" t="s">
        <v>54</v>
      </c>
      <c r="E45" t="s">
        <v>31</v>
      </c>
      <c r="F45" t="s">
        <v>65</v>
      </c>
      <c r="G45">
        <v>7</v>
      </c>
      <c r="H45">
        <v>125096</v>
      </c>
      <c r="I45" t="s">
        <v>52</v>
      </c>
      <c r="J45">
        <v>788104.8</v>
      </c>
      <c r="K45" t="s">
        <v>26</v>
      </c>
      <c r="L45" t="s">
        <v>18</v>
      </c>
    </row>
    <row r="46" spans="1:12" x14ac:dyDescent="0.25">
      <c r="A46" t="s">
        <v>119</v>
      </c>
      <c r="B46" s="1">
        <v>45343</v>
      </c>
      <c r="C46" t="s">
        <v>2</v>
      </c>
      <c r="D46" t="s">
        <v>54</v>
      </c>
      <c r="E46" t="s">
        <v>29</v>
      </c>
      <c r="F46" t="s">
        <v>72</v>
      </c>
      <c r="G46">
        <v>4</v>
      </c>
      <c r="H46">
        <v>108878</v>
      </c>
      <c r="I46" t="s">
        <v>48</v>
      </c>
      <c r="J46">
        <v>435512</v>
      </c>
      <c r="K46" t="s">
        <v>28</v>
      </c>
      <c r="L46" t="s">
        <v>19</v>
      </c>
    </row>
    <row r="47" spans="1:12" x14ac:dyDescent="0.25">
      <c r="A47" t="s">
        <v>120</v>
      </c>
      <c r="B47" s="1">
        <v>45522</v>
      </c>
      <c r="C47" t="s">
        <v>3</v>
      </c>
      <c r="D47" t="s">
        <v>59</v>
      </c>
      <c r="E47" t="s">
        <v>30</v>
      </c>
      <c r="F47" t="s">
        <v>112</v>
      </c>
      <c r="G47">
        <v>13</v>
      </c>
      <c r="H47">
        <v>65623</v>
      </c>
      <c r="I47" t="s">
        <v>48</v>
      </c>
      <c r="J47">
        <v>853099</v>
      </c>
      <c r="K47" t="s">
        <v>23</v>
      </c>
      <c r="L47" t="s">
        <v>20</v>
      </c>
    </row>
    <row r="48" spans="1:12" x14ac:dyDescent="0.25">
      <c r="A48" t="s">
        <v>121</v>
      </c>
      <c r="B48" s="1">
        <v>45618</v>
      </c>
      <c r="C48" t="s">
        <v>2</v>
      </c>
      <c r="D48" t="s">
        <v>62</v>
      </c>
      <c r="E48" t="s">
        <v>32</v>
      </c>
      <c r="F48" t="s">
        <v>122</v>
      </c>
      <c r="G48">
        <v>19</v>
      </c>
      <c r="H48">
        <v>120845</v>
      </c>
      <c r="I48" t="s">
        <v>52</v>
      </c>
      <c r="J48">
        <v>2066449.5</v>
      </c>
      <c r="K48" t="s">
        <v>21</v>
      </c>
      <c r="L48" t="s">
        <v>19</v>
      </c>
    </row>
    <row r="49" spans="1:12" x14ac:dyDescent="0.25">
      <c r="A49" t="s">
        <v>123</v>
      </c>
      <c r="B49" s="1">
        <v>45575</v>
      </c>
      <c r="C49" t="s">
        <v>2</v>
      </c>
      <c r="D49" t="s">
        <v>54</v>
      </c>
      <c r="E49" t="s">
        <v>30</v>
      </c>
      <c r="F49" t="s">
        <v>124</v>
      </c>
      <c r="G49">
        <v>2</v>
      </c>
      <c r="H49">
        <v>112225</v>
      </c>
      <c r="I49" t="s">
        <v>60</v>
      </c>
      <c r="J49">
        <v>213227.5</v>
      </c>
      <c r="K49" t="s">
        <v>21</v>
      </c>
      <c r="L49" t="s">
        <v>18</v>
      </c>
    </row>
    <row r="50" spans="1:12" x14ac:dyDescent="0.25">
      <c r="A50" t="s">
        <v>125</v>
      </c>
      <c r="B50" s="1">
        <v>45336</v>
      </c>
      <c r="C50" t="s">
        <v>2</v>
      </c>
      <c r="D50" t="s">
        <v>54</v>
      </c>
      <c r="E50" t="s">
        <v>32</v>
      </c>
      <c r="F50" t="s">
        <v>70</v>
      </c>
      <c r="G50">
        <v>21</v>
      </c>
      <c r="H50">
        <v>5693</v>
      </c>
      <c r="I50" t="s">
        <v>52</v>
      </c>
      <c r="J50">
        <v>107597.7</v>
      </c>
      <c r="K50" t="s">
        <v>21</v>
      </c>
      <c r="L50" t="s">
        <v>19</v>
      </c>
    </row>
    <row r="51" spans="1:12" x14ac:dyDescent="0.25">
      <c r="A51" t="s">
        <v>126</v>
      </c>
      <c r="B51" s="1">
        <v>45575</v>
      </c>
      <c r="C51" t="s">
        <v>2</v>
      </c>
      <c r="D51" t="s">
        <v>46</v>
      </c>
      <c r="E51" t="s">
        <v>29</v>
      </c>
      <c r="F51" t="s">
        <v>89</v>
      </c>
      <c r="G51">
        <v>12</v>
      </c>
      <c r="H51">
        <v>28939</v>
      </c>
      <c r="I51" t="s">
        <v>60</v>
      </c>
      <c r="J51">
        <v>329904.59999999998</v>
      </c>
      <c r="K51" t="s">
        <v>27</v>
      </c>
      <c r="L51" t="s">
        <v>20</v>
      </c>
    </row>
    <row r="52" spans="1:12" x14ac:dyDescent="0.25">
      <c r="A52" t="s">
        <v>127</v>
      </c>
      <c r="B52" s="1">
        <v>45577</v>
      </c>
      <c r="C52" t="s">
        <v>3</v>
      </c>
      <c r="D52" t="s">
        <v>67</v>
      </c>
      <c r="E52" t="s">
        <v>30</v>
      </c>
      <c r="F52" t="s">
        <v>63</v>
      </c>
      <c r="G52">
        <v>11</v>
      </c>
      <c r="H52">
        <v>21047</v>
      </c>
      <c r="I52" t="s">
        <v>60</v>
      </c>
      <c r="J52">
        <v>219941.15</v>
      </c>
      <c r="K52" t="s">
        <v>21</v>
      </c>
      <c r="L52" t="s">
        <v>19</v>
      </c>
    </row>
    <row r="53" spans="1:12" x14ac:dyDescent="0.25">
      <c r="A53" t="s">
        <v>128</v>
      </c>
      <c r="B53" s="1">
        <v>45639</v>
      </c>
      <c r="C53" t="s">
        <v>2</v>
      </c>
      <c r="D53" t="s">
        <v>62</v>
      </c>
      <c r="E53" t="s">
        <v>32</v>
      </c>
      <c r="F53" t="s">
        <v>109</v>
      </c>
      <c r="G53">
        <v>7</v>
      </c>
      <c r="H53">
        <v>128117</v>
      </c>
      <c r="I53" t="s">
        <v>60</v>
      </c>
      <c r="J53">
        <v>851978.05</v>
      </c>
      <c r="K53" t="s">
        <v>25</v>
      </c>
      <c r="L53" t="s">
        <v>18</v>
      </c>
    </row>
    <row r="54" spans="1:12" x14ac:dyDescent="0.25">
      <c r="A54" t="s">
        <v>129</v>
      </c>
      <c r="B54" s="1">
        <v>45516</v>
      </c>
      <c r="C54" t="s">
        <v>4</v>
      </c>
      <c r="D54" t="s">
        <v>50</v>
      </c>
      <c r="E54" t="s">
        <v>32</v>
      </c>
      <c r="F54" t="s">
        <v>87</v>
      </c>
      <c r="G54">
        <v>1</v>
      </c>
      <c r="H54">
        <v>131376</v>
      </c>
      <c r="I54" t="s">
        <v>48</v>
      </c>
      <c r="J54">
        <v>131376</v>
      </c>
      <c r="K54" t="s">
        <v>25</v>
      </c>
      <c r="L54" t="s">
        <v>18</v>
      </c>
    </row>
    <row r="55" spans="1:12" x14ac:dyDescent="0.25">
      <c r="A55" t="s">
        <v>130</v>
      </c>
      <c r="B55" s="1">
        <v>45574</v>
      </c>
      <c r="C55" t="s">
        <v>3</v>
      </c>
      <c r="D55" t="s">
        <v>59</v>
      </c>
      <c r="E55" t="s">
        <v>30</v>
      </c>
      <c r="F55" t="s">
        <v>85</v>
      </c>
      <c r="G55">
        <v>20</v>
      </c>
      <c r="H55">
        <v>130948</v>
      </c>
      <c r="I55" t="s">
        <v>48</v>
      </c>
      <c r="J55">
        <v>2618960</v>
      </c>
      <c r="K55" t="s">
        <v>24</v>
      </c>
      <c r="L55" t="s">
        <v>18</v>
      </c>
    </row>
    <row r="56" spans="1:12" x14ac:dyDescent="0.25">
      <c r="A56" t="s">
        <v>131</v>
      </c>
      <c r="B56" s="1">
        <v>45524</v>
      </c>
      <c r="C56" t="s">
        <v>4</v>
      </c>
      <c r="D56" t="s">
        <v>57</v>
      </c>
      <c r="E56" t="s">
        <v>32</v>
      </c>
      <c r="F56" t="s">
        <v>96</v>
      </c>
      <c r="G56">
        <v>3</v>
      </c>
      <c r="H56">
        <v>24959</v>
      </c>
      <c r="I56" t="s">
        <v>52</v>
      </c>
      <c r="J56">
        <v>67389.3</v>
      </c>
      <c r="K56" t="s">
        <v>23</v>
      </c>
      <c r="L56" t="s">
        <v>20</v>
      </c>
    </row>
    <row r="57" spans="1:12" x14ac:dyDescent="0.25">
      <c r="A57" t="s">
        <v>132</v>
      </c>
      <c r="B57" s="1">
        <v>45428</v>
      </c>
      <c r="C57" t="s">
        <v>3</v>
      </c>
      <c r="D57" t="s">
        <v>69</v>
      </c>
      <c r="E57" t="s">
        <v>32</v>
      </c>
      <c r="F57" t="s">
        <v>109</v>
      </c>
      <c r="G57">
        <v>5</v>
      </c>
      <c r="H57">
        <v>16545</v>
      </c>
      <c r="I57" t="s">
        <v>48</v>
      </c>
      <c r="J57">
        <v>82725</v>
      </c>
      <c r="K57" t="s">
        <v>27</v>
      </c>
      <c r="L57" t="s">
        <v>20</v>
      </c>
    </row>
    <row r="58" spans="1:12" x14ac:dyDescent="0.25">
      <c r="A58" t="s">
        <v>133</v>
      </c>
      <c r="B58" s="1">
        <v>45463</v>
      </c>
      <c r="C58" t="s">
        <v>2</v>
      </c>
      <c r="D58" t="s">
        <v>46</v>
      </c>
      <c r="E58" t="s">
        <v>29</v>
      </c>
      <c r="F58" t="s">
        <v>51</v>
      </c>
      <c r="G58">
        <v>24</v>
      </c>
      <c r="H58">
        <v>76530</v>
      </c>
      <c r="I58" t="s">
        <v>52</v>
      </c>
      <c r="J58">
        <v>1653048</v>
      </c>
      <c r="K58" t="s">
        <v>24</v>
      </c>
      <c r="L58" t="s">
        <v>18</v>
      </c>
    </row>
    <row r="59" spans="1:12" x14ac:dyDescent="0.25">
      <c r="A59" t="s">
        <v>134</v>
      </c>
      <c r="B59" s="1">
        <v>45451</v>
      </c>
      <c r="C59" t="s">
        <v>4</v>
      </c>
      <c r="D59" t="s">
        <v>93</v>
      </c>
      <c r="E59" t="s">
        <v>32</v>
      </c>
      <c r="F59" t="s">
        <v>87</v>
      </c>
      <c r="G59">
        <v>24</v>
      </c>
      <c r="H59">
        <v>71840</v>
      </c>
      <c r="I59" t="s">
        <v>48</v>
      </c>
      <c r="J59">
        <v>1724160</v>
      </c>
      <c r="K59" t="s">
        <v>24</v>
      </c>
      <c r="L59" t="s">
        <v>20</v>
      </c>
    </row>
    <row r="60" spans="1:12" x14ac:dyDescent="0.25">
      <c r="A60" t="s">
        <v>135</v>
      </c>
      <c r="B60" s="1">
        <v>45471</v>
      </c>
      <c r="C60" t="s">
        <v>4</v>
      </c>
      <c r="D60" t="s">
        <v>93</v>
      </c>
      <c r="E60" t="s">
        <v>29</v>
      </c>
      <c r="F60" t="s">
        <v>47</v>
      </c>
      <c r="G60">
        <v>17</v>
      </c>
      <c r="H60">
        <v>54005</v>
      </c>
      <c r="I60" t="s">
        <v>48</v>
      </c>
      <c r="J60">
        <v>918085</v>
      </c>
      <c r="K60" t="s">
        <v>23</v>
      </c>
      <c r="L60" t="s">
        <v>19</v>
      </c>
    </row>
    <row r="61" spans="1:12" x14ac:dyDescent="0.25">
      <c r="A61" t="s">
        <v>136</v>
      </c>
      <c r="B61" s="1">
        <v>45343</v>
      </c>
      <c r="C61" t="s">
        <v>2</v>
      </c>
      <c r="D61" t="s">
        <v>46</v>
      </c>
      <c r="E61" t="s">
        <v>30</v>
      </c>
      <c r="F61" t="s">
        <v>124</v>
      </c>
      <c r="G61">
        <v>12</v>
      </c>
      <c r="H61">
        <v>55733</v>
      </c>
      <c r="I61" t="s">
        <v>60</v>
      </c>
      <c r="J61">
        <v>635356.19999999995</v>
      </c>
      <c r="K61" t="s">
        <v>21</v>
      </c>
      <c r="L61" t="s">
        <v>19</v>
      </c>
    </row>
    <row r="62" spans="1:12" x14ac:dyDescent="0.25">
      <c r="A62" t="s">
        <v>137</v>
      </c>
      <c r="B62" s="1">
        <v>45586</v>
      </c>
      <c r="C62" t="s">
        <v>3</v>
      </c>
      <c r="D62" t="s">
        <v>69</v>
      </c>
      <c r="E62" t="s">
        <v>30</v>
      </c>
      <c r="F62" t="s">
        <v>124</v>
      </c>
      <c r="G62">
        <v>2</v>
      </c>
      <c r="H62">
        <v>70172</v>
      </c>
      <c r="I62" t="s">
        <v>60</v>
      </c>
      <c r="J62">
        <v>133326.79999999999</v>
      </c>
      <c r="K62" t="s">
        <v>22</v>
      </c>
      <c r="L62" t="s">
        <v>20</v>
      </c>
    </row>
    <row r="63" spans="1:12" x14ac:dyDescent="0.25">
      <c r="A63" t="s">
        <v>138</v>
      </c>
      <c r="B63" s="1">
        <v>45404</v>
      </c>
      <c r="C63" t="s">
        <v>4</v>
      </c>
      <c r="D63" t="s">
        <v>57</v>
      </c>
      <c r="E63" t="s">
        <v>29</v>
      </c>
      <c r="F63" t="s">
        <v>51</v>
      </c>
      <c r="G63">
        <v>24</v>
      </c>
      <c r="H63">
        <v>96264</v>
      </c>
      <c r="I63" t="s">
        <v>60</v>
      </c>
      <c r="J63">
        <v>2194819.2000000002</v>
      </c>
      <c r="K63" t="s">
        <v>21</v>
      </c>
      <c r="L63" t="s">
        <v>18</v>
      </c>
    </row>
    <row r="64" spans="1:12" x14ac:dyDescent="0.25">
      <c r="A64" t="s">
        <v>139</v>
      </c>
      <c r="B64" s="1">
        <v>45478</v>
      </c>
      <c r="C64" t="s">
        <v>2</v>
      </c>
      <c r="D64" t="s">
        <v>54</v>
      </c>
      <c r="E64" t="s">
        <v>30</v>
      </c>
      <c r="F64" t="s">
        <v>112</v>
      </c>
      <c r="G64">
        <v>17</v>
      </c>
      <c r="H64">
        <v>115859</v>
      </c>
      <c r="I64" t="s">
        <v>60</v>
      </c>
      <c r="J64">
        <v>1871122.85</v>
      </c>
      <c r="K64" t="s">
        <v>22</v>
      </c>
      <c r="L64" t="s">
        <v>18</v>
      </c>
    </row>
    <row r="65" spans="1:12" x14ac:dyDescent="0.25">
      <c r="A65" t="s">
        <v>140</v>
      </c>
      <c r="B65" s="1">
        <v>45345</v>
      </c>
      <c r="C65" t="s">
        <v>4</v>
      </c>
      <c r="D65" t="s">
        <v>57</v>
      </c>
      <c r="E65" t="s">
        <v>29</v>
      </c>
      <c r="F65" t="s">
        <v>55</v>
      </c>
      <c r="G65">
        <v>23</v>
      </c>
      <c r="H65">
        <v>93084</v>
      </c>
      <c r="I65" t="s">
        <v>60</v>
      </c>
      <c r="J65">
        <v>2033885.4</v>
      </c>
      <c r="K65" t="s">
        <v>22</v>
      </c>
      <c r="L65" t="s">
        <v>18</v>
      </c>
    </row>
    <row r="66" spans="1:12" x14ac:dyDescent="0.25">
      <c r="A66" t="s">
        <v>141</v>
      </c>
      <c r="B66" s="1">
        <v>45515</v>
      </c>
      <c r="C66" t="s">
        <v>3</v>
      </c>
      <c r="D66" t="s">
        <v>59</v>
      </c>
      <c r="E66" t="s">
        <v>30</v>
      </c>
      <c r="F66" t="s">
        <v>85</v>
      </c>
      <c r="G66">
        <v>1</v>
      </c>
      <c r="H66">
        <v>58680</v>
      </c>
      <c r="I66" t="s">
        <v>48</v>
      </c>
      <c r="J66">
        <v>58680</v>
      </c>
      <c r="K66" t="s">
        <v>25</v>
      </c>
      <c r="L66" t="s">
        <v>18</v>
      </c>
    </row>
    <row r="67" spans="1:12" x14ac:dyDescent="0.25">
      <c r="A67" t="s">
        <v>142</v>
      </c>
      <c r="B67" s="1">
        <v>45417</v>
      </c>
      <c r="C67" t="s">
        <v>3</v>
      </c>
      <c r="D67" t="s">
        <v>69</v>
      </c>
      <c r="E67" t="s">
        <v>31</v>
      </c>
      <c r="F67" t="s">
        <v>75</v>
      </c>
      <c r="G67">
        <v>2</v>
      </c>
      <c r="H67">
        <v>53859</v>
      </c>
      <c r="I67" t="s">
        <v>48</v>
      </c>
      <c r="J67">
        <v>107718</v>
      </c>
      <c r="K67" t="s">
        <v>24</v>
      </c>
      <c r="L67" t="s">
        <v>20</v>
      </c>
    </row>
    <row r="68" spans="1:12" x14ac:dyDescent="0.25">
      <c r="A68" t="s">
        <v>143</v>
      </c>
      <c r="B68" s="1">
        <v>45509</v>
      </c>
      <c r="C68" t="s">
        <v>3</v>
      </c>
      <c r="D68" t="s">
        <v>67</v>
      </c>
      <c r="E68" t="s">
        <v>32</v>
      </c>
      <c r="F68" t="s">
        <v>70</v>
      </c>
      <c r="G68">
        <v>6</v>
      </c>
      <c r="H68">
        <v>73467</v>
      </c>
      <c r="I68" t="s">
        <v>48</v>
      </c>
      <c r="J68">
        <v>440802</v>
      </c>
      <c r="K68" t="s">
        <v>25</v>
      </c>
      <c r="L68" t="s">
        <v>18</v>
      </c>
    </row>
    <row r="69" spans="1:12" x14ac:dyDescent="0.25">
      <c r="A69" t="s">
        <v>144</v>
      </c>
      <c r="B69" s="1">
        <v>45494</v>
      </c>
      <c r="C69" t="s">
        <v>4</v>
      </c>
      <c r="D69" t="s">
        <v>50</v>
      </c>
      <c r="E69" t="s">
        <v>30</v>
      </c>
      <c r="F69" t="s">
        <v>91</v>
      </c>
      <c r="G69">
        <v>24</v>
      </c>
      <c r="H69">
        <v>121906</v>
      </c>
      <c r="I69" t="s">
        <v>52</v>
      </c>
      <c r="J69">
        <v>2633169.6</v>
      </c>
      <c r="K69" t="s">
        <v>28</v>
      </c>
      <c r="L69" t="s">
        <v>20</v>
      </c>
    </row>
    <row r="70" spans="1:12" x14ac:dyDescent="0.25">
      <c r="A70" t="s">
        <v>145</v>
      </c>
      <c r="B70" s="1">
        <v>45546</v>
      </c>
      <c r="C70" t="s">
        <v>4</v>
      </c>
      <c r="D70" t="s">
        <v>57</v>
      </c>
      <c r="E70" t="s">
        <v>29</v>
      </c>
      <c r="F70" t="s">
        <v>51</v>
      </c>
      <c r="G70">
        <v>6</v>
      </c>
      <c r="H70">
        <v>109308</v>
      </c>
      <c r="I70" t="s">
        <v>48</v>
      </c>
      <c r="J70">
        <v>655848</v>
      </c>
      <c r="K70" t="s">
        <v>24</v>
      </c>
      <c r="L70" t="s">
        <v>18</v>
      </c>
    </row>
    <row r="71" spans="1:12" x14ac:dyDescent="0.25">
      <c r="A71" t="s">
        <v>146</v>
      </c>
      <c r="B71" s="1">
        <v>45389</v>
      </c>
      <c r="C71" t="s">
        <v>2</v>
      </c>
      <c r="D71" t="s">
        <v>62</v>
      </c>
      <c r="E71" t="s">
        <v>29</v>
      </c>
      <c r="F71" t="s">
        <v>72</v>
      </c>
      <c r="G71">
        <v>6</v>
      </c>
      <c r="H71">
        <v>92045</v>
      </c>
      <c r="I71" t="s">
        <v>48</v>
      </c>
      <c r="J71">
        <v>552270</v>
      </c>
      <c r="K71" t="s">
        <v>24</v>
      </c>
      <c r="L71" t="s">
        <v>19</v>
      </c>
    </row>
    <row r="72" spans="1:12" x14ac:dyDescent="0.25">
      <c r="A72" t="s">
        <v>147</v>
      </c>
      <c r="B72" s="1">
        <v>45531</v>
      </c>
      <c r="C72" t="s">
        <v>2</v>
      </c>
      <c r="D72" t="s">
        <v>54</v>
      </c>
      <c r="E72" t="s">
        <v>30</v>
      </c>
      <c r="F72" t="s">
        <v>112</v>
      </c>
      <c r="G72">
        <v>16</v>
      </c>
      <c r="H72">
        <v>96384</v>
      </c>
      <c r="I72" t="s">
        <v>52</v>
      </c>
      <c r="J72">
        <v>1387929.6000000001</v>
      </c>
      <c r="K72" t="s">
        <v>21</v>
      </c>
      <c r="L72" t="s">
        <v>20</v>
      </c>
    </row>
    <row r="73" spans="1:12" x14ac:dyDescent="0.25">
      <c r="A73" t="s">
        <v>148</v>
      </c>
      <c r="B73" s="1">
        <v>45415</v>
      </c>
      <c r="C73" t="s">
        <v>2</v>
      </c>
      <c r="D73" t="s">
        <v>54</v>
      </c>
      <c r="E73" t="s">
        <v>31</v>
      </c>
      <c r="F73" t="s">
        <v>106</v>
      </c>
      <c r="G73">
        <v>6</v>
      </c>
      <c r="H73">
        <v>54663</v>
      </c>
      <c r="I73" t="s">
        <v>52</v>
      </c>
      <c r="J73">
        <v>295180.2</v>
      </c>
      <c r="K73" t="s">
        <v>23</v>
      </c>
      <c r="L73" t="s">
        <v>19</v>
      </c>
    </row>
    <row r="74" spans="1:12" x14ac:dyDescent="0.25">
      <c r="A74" t="s">
        <v>149</v>
      </c>
      <c r="B74" s="1">
        <v>45640</v>
      </c>
      <c r="C74" t="s">
        <v>2</v>
      </c>
      <c r="D74" t="s">
        <v>46</v>
      </c>
      <c r="E74" t="s">
        <v>30</v>
      </c>
      <c r="F74" t="s">
        <v>124</v>
      </c>
      <c r="G74">
        <v>3</v>
      </c>
      <c r="H74">
        <v>52811</v>
      </c>
      <c r="I74" t="s">
        <v>60</v>
      </c>
      <c r="J74">
        <v>150511.35</v>
      </c>
      <c r="K74" t="s">
        <v>28</v>
      </c>
      <c r="L74" t="s">
        <v>18</v>
      </c>
    </row>
    <row r="75" spans="1:12" x14ac:dyDescent="0.25">
      <c r="A75" t="s">
        <v>150</v>
      </c>
      <c r="B75" s="1">
        <v>45543</v>
      </c>
      <c r="C75" t="s">
        <v>3</v>
      </c>
      <c r="D75" t="s">
        <v>59</v>
      </c>
      <c r="E75" t="s">
        <v>30</v>
      </c>
      <c r="F75" t="s">
        <v>63</v>
      </c>
      <c r="G75">
        <v>4</v>
      </c>
      <c r="H75">
        <v>127249</v>
      </c>
      <c r="I75" t="s">
        <v>60</v>
      </c>
      <c r="J75">
        <v>483546.2</v>
      </c>
      <c r="K75" t="s">
        <v>22</v>
      </c>
      <c r="L75" t="s">
        <v>19</v>
      </c>
    </row>
    <row r="76" spans="1:12" x14ac:dyDescent="0.25">
      <c r="A76" t="s">
        <v>151</v>
      </c>
      <c r="B76" s="1">
        <v>45438</v>
      </c>
      <c r="C76" t="s">
        <v>3</v>
      </c>
      <c r="D76" t="s">
        <v>59</v>
      </c>
      <c r="E76" t="s">
        <v>32</v>
      </c>
      <c r="F76" t="s">
        <v>122</v>
      </c>
      <c r="G76">
        <v>20</v>
      </c>
      <c r="H76">
        <v>136983</v>
      </c>
      <c r="I76" t="s">
        <v>52</v>
      </c>
      <c r="J76">
        <v>2465694</v>
      </c>
      <c r="K76" t="s">
        <v>24</v>
      </c>
      <c r="L76" t="s">
        <v>18</v>
      </c>
    </row>
    <row r="77" spans="1:12" x14ac:dyDescent="0.25">
      <c r="A77" t="s">
        <v>152</v>
      </c>
      <c r="B77" s="1">
        <v>45490</v>
      </c>
      <c r="C77" t="s">
        <v>3</v>
      </c>
      <c r="D77" t="s">
        <v>67</v>
      </c>
      <c r="E77" t="s">
        <v>30</v>
      </c>
      <c r="F77" t="s">
        <v>112</v>
      </c>
      <c r="G77">
        <v>20</v>
      </c>
      <c r="H77">
        <v>142752</v>
      </c>
      <c r="I77" t="s">
        <v>52</v>
      </c>
      <c r="J77">
        <v>2569536</v>
      </c>
      <c r="K77" t="s">
        <v>25</v>
      </c>
      <c r="L77" t="s">
        <v>19</v>
      </c>
    </row>
    <row r="78" spans="1:12" x14ac:dyDescent="0.25">
      <c r="A78" t="s">
        <v>153</v>
      </c>
      <c r="B78" s="1">
        <v>45419</v>
      </c>
      <c r="C78" t="s">
        <v>3</v>
      </c>
      <c r="D78" t="s">
        <v>67</v>
      </c>
      <c r="E78" t="s">
        <v>31</v>
      </c>
      <c r="F78" t="s">
        <v>106</v>
      </c>
      <c r="G78">
        <v>7</v>
      </c>
      <c r="H78">
        <v>103689</v>
      </c>
      <c r="I78" t="s">
        <v>48</v>
      </c>
      <c r="J78">
        <v>725823</v>
      </c>
      <c r="K78" t="s">
        <v>24</v>
      </c>
      <c r="L78" t="s">
        <v>18</v>
      </c>
    </row>
    <row r="79" spans="1:12" x14ac:dyDescent="0.25">
      <c r="A79" t="s">
        <v>154</v>
      </c>
      <c r="B79" s="1">
        <v>45651</v>
      </c>
      <c r="C79" t="s">
        <v>3</v>
      </c>
      <c r="D79" t="s">
        <v>59</v>
      </c>
      <c r="E79" t="s">
        <v>31</v>
      </c>
      <c r="F79" t="s">
        <v>98</v>
      </c>
      <c r="G79">
        <v>1</v>
      </c>
      <c r="H79">
        <v>135874</v>
      </c>
      <c r="I79" t="s">
        <v>52</v>
      </c>
      <c r="J79">
        <v>122286.6</v>
      </c>
      <c r="K79" t="s">
        <v>27</v>
      </c>
      <c r="L79" t="s">
        <v>19</v>
      </c>
    </row>
    <row r="80" spans="1:12" x14ac:dyDescent="0.25">
      <c r="A80" t="s">
        <v>155</v>
      </c>
      <c r="B80" s="1">
        <v>45442</v>
      </c>
      <c r="C80" t="s">
        <v>4</v>
      </c>
      <c r="D80" t="s">
        <v>50</v>
      </c>
      <c r="E80" t="s">
        <v>32</v>
      </c>
      <c r="F80" t="s">
        <v>70</v>
      </c>
      <c r="G80">
        <v>10</v>
      </c>
      <c r="H80">
        <v>33306</v>
      </c>
      <c r="I80" t="s">
        <v>52</v>
      </c>
      <c r="J80">
        <v>299754</v>
      </c>
      <c r="K80" t="s">
        <v>26</v>
      </c>
      <c r="L80" t="s">
        <v>20</v>
      </c>
    </row>
    <row r="81" spans="1:12" x14ac:dyDescent="0.25">
      <c r="A81" t="s">
        <v>156</v>
      </c>
      <c r="B81" s="1">
        <v>45554</v>
      </c>
      <c r="C81" t="s">
        <v>4</v>
      </c>
      <c r="D81" t="s">
        <v>57</v>
      </c>
      <c r="E81" t="s">
        <v>32</v>
      </c>
      <c r="F81" t="s">
        <v>109</v>
      </c>
      <c r="G81">
        <v>16</v>
      </c>
      <c r="H81">
        <v>99601</v>
      </c>
      <c r="I81" t="s">
        <v>48</v>
      </c>
      <c r="J81">
        <v>1593616</v>
      </c>
      <c r="K81" t="s">
        <v>26</v>
      </c>
      <c r="L81" t="s">
        <v>18</v>
      </c>
    </row>
    <row r="82" spans="1:12" x14ac:dyDescent="0.25">
      <c r="A82" t="s">
        <v>157</v>
      </c>
      <c r="B82" s="1">
        <v>45403</v>
      </c>
      <c r="C82" t="s">
        <v>2</v>
      </c>
      <c r="D82" t="s">
        <v>54</v>
      </c>
      <c r="E82" t="s">
        <v>30</v>
      </c>
      <c r="F82" t="s">
        <v>124</v>
      </c>
      <c r="G82">
        <v>20</v>
      </c>
      <c r="H82">
        <v>114472</v>
      </c>
      <c r="I82" t="s">
        <v>60</v>
      </c>
      <c r="J82">
        <v>2174968</v>
      </c>
      <c r="K82" t="s">
        <v>28</v>
      </c>
      <c r="L82" t="s">
        <v>20</v>
      </c>
    </row>
    <row r="83" spans="1:12" x14ac:dyDescent="0.25">
      <c r="A83" t="s">
        <v>158</v>
      </c>
      <c r="B83" s="1">
        <v>45293</v>
      </c>
      <c r="C83" t="s">
        <v>3</v>
      </c>
      <c r="D83" t="s">
        <v>67</v>
      </c>
      <c r="E83" t="s">
        <v>32</v>
      </c>
      <c r="F83" t="s">
        <v>122</v>
      </c>
      <c r="G83">
        <v>1</v>
      </c>
      <c r="H83">
        <v>106727</v>
      </c>
      <c r="I83" t="s">
        <v>52</v>
      </c>
      <c r="J83">
        <v>96054.3</v>
      </c>
      <c r="K83" t="s">
        <v>27</v>
      </c>
      <c r="L83" t="s">
        <v>19</v>
      </c>
    </row>
    <row r="84" spans="1:12" x14ac:dyDescent="0.25">
      <c r="A84" t="s">
        <v>159</v>
      </c>
      <c r="B84" s="1">
        <v>45545</v>
      </c>
      <c r="C84" t="s">
        <v>3</v>
      </c>
      <c r="D84" t="s">
        <v>69</v>
      </c>
      <c r="E84" t="s">
        <v>30</v>
      </c>
      <c r="F84" t="s">
        <v>91</v>
      </c>
      <c r="G84">
        <v>12</v>
      </c>
      <c r="H84">
        <v>23932</v>
      </c>
      <c r="I84" t="s">
        <v>52</v>
      </c>
      <c r="J84">
        <v>258465.6</v>
      </c>
      <c r="K84" t="s">
        <v>27</v>
      </c>
      <c r="L84" t="s">
        <v>18</v>
      </c>
    </row>
    <row r="85" spans="1:12" x14ac:dyDescent="0.25">
      <c r="A85" t="s">
        <v>160</v>
      </c>
      <c r="B85" s="1">
        <v>45328</v>
      </c>
      <c r="C85" t="s">
        <v>2</v>
      </c>
      <c r="D85" t="s">
        <v>54</v>
      </c>
      <c r="E85" t="s">
        <v>29</v>
      </c>
      <c r="F85" t="s">
        <v>72</v>
      </c>
      <c r="G85">
        <v>23</v>
      </c>
      <c r="H85">
        <v>10400</v>
      </c>
      <c r="I85" t="s">
        <v>52</v>
      </c>
      <c r="J85">
        <v>215280</v>
      </c>
      <c r="K85" t="s">
        <v>23</v>
      </c>
      <c r="L85" t="s">
        <v>18</v>
      </c>
    </row>
    <row r="86" spans="1:12" x14ac:dyDescent="0.25">
      <c r="A86" t="s">
        <v>161</v>
      </c>
      <c r="B86" s="1">
        <v>45390</v>
      </c>
      <c r="C86" t="s">
        <v>2</v>
      </c>
      <c r="D86" t="s">
        <v>54</v>
      </c>
      <c r="E86" t="s">
        <v>31</v>
      </c>
      <c r="F86" t="s">
        <v>98</v>
      </c>
      <c r="G86">
        <v>19</v>
      </c>
      <c r="H86">
        <v>18151</v>
      </c>
      <c r="I86" t="s">
        <v>48</v>
      </c>
      <c r="J86">
        <v>344869</v>
      </c>
      <c r="K86" t="s">
        <v>28</v>
      </c>
      <c r="L86" t="s">
        <v>18</v>
      </c>
    </row>
    <row r="87" spans="1:12" x14ac:dyDescent="0.25">
      <c r="A87" t="s">
        <v>162</v>
      </c>
      <c r="B87" s="1">
        <v>45499</v>
      </c>
      <c r="C87" t="s">
        <v>2</v>
      </c>
      <c r="D87" t="s">
        <v>46</v>
      </c>
      <c r="E87" t="s">
        <v>30</v>
      </c>
      <c r="F87" t="s">
        <v>63</v>
      </c>
      <c r="G87">
        <v>3</v>
      </c>
      <c r="H87">
        <v>7499</v>
      </c>
      <c r="I87" t="s">
        <v>48</v>
      </c>
      <c r="J87">
        <v>22497</v>
      </c>
      <c r="K87" t="s">
        <v>28</v>
      </c>
      <c r="L87" t="s">
        <v>18</v>
      </c>
    </row>
    <row r="88" spans="1:12" x14ac:dyDescent="0.25">
      <c r="A88" t="s">
        <v>163</v>
      </c>
      <c r="B88" s="1">
        <v>45443</v>
      </c>
      <c r="C88" t="s">
        <v>4</v>
      </c>
      <c r="D88" t="s">
        <v>50</v>
      </c>
      <c r="E88" t="s">
        <v>30</v>
      </c>
      <c r="F88" t="s">
        <v>85</v>
      </c>
      <c r="G88">
        <v>22</v>
      </c>
      <c r="H88">
        <v>129071</v>
      </c>
      <c r="I88" t="s">
        <v>48</v>
      </c>
      <c r="J88">
        <v>2839562</v>
      </c>
      <c r="K88" t="s">
        <v>23</v>
      </c>
      <c r="L88" t="s">
        <v>19</v>
      </c>
    </row>
    <row r="89" spans="1:12" x14ac:dyDescent="0.25">
      <c r="A89" t="s">
        <v>164</v>
      </c>
      <c r="B89" s="1">
        <v>45452</v>
      </c>
      <c r="C89" t="s">
        <v>4</v>
      </c>
      <c r="D89" t="s">
        <v>57</v>
      </c>
      <c r="E89" t="s">
        <v>31</v>
      </c>
      <c r="F89" t="s">
        <v>75</v>
      </c>
      <c r="G89">
        <v>24</v>
      </c>
      <c r="H89">
        <v>146946</v>
      </c>
      <c r="I89" t="s">
        <v>48</v>
      </c>
      <c r="J89">
        <v>3526704</v>
      </c>
      <c r="K89" t="s">
        <v>25</v>
      </c>
      <c r="L89" t="s">
        <v>18</v>
      </c>
    </row>
    <row r="90" spans="1:12" x14ac:dyDescent="0.25">
      <c r="A90" t="s">
        <v>165</v>
      </c>
      <c r="B90" s="1">
        <v>45404</v>
      </c>
      <c r="C90" t="s">
        <v>2</v>
      </c>
      <c r="D90" t="s">
        <v>62</v>
      </c>
      <c r="E90" t="s">
        <v>29</v>
      </c>
      <c r="F90" t="s">
        <v>47</v>
      </c>
      <c r="G90">
        <v>8</v>
      </c>
      <c r="H90">
        <v>8539</v>
      </c>
      <c r="I90" t="s">
        <v>60</v>
      </c>
      <c r="J90">
        <v>64896.4</v>
      </c>
      <c r="K90" t="s">
        <v>23</v>
      </c>
      <c r="L90" t="s">
        <v>19</v>
      </c>
    </row>
    <row r="91" spans="1:12" x14ac:dyDescent="0.25">
      <c r="A91" t="s">
        <v>166</v>
      </c>
      <c r="B91" s="1">
        <v>45395</v>
      </c>
      <c r="C91" t="s">
        <v>2</v>
      </c>
      <c r="D91" t="s">
        <v>46</v>
      </c>
      <c r="E91" t="s">
        <v>29</v>
      </c>
      <c r="F91" t="s">
        <v>51</v>
      </c>
      <c r="G91">
        <v>20</v>
      </c>
      <c r="H91">
        <v>129063</v>
      </c>
      <c r="I91" t="s">
        <v>60</v>
      </c>
      <c r="J91">
        <v>2452197</v>
      </c>
      <c r="K91" t="s">
        <v>26</v>
      </c>
      <c r="L91" t="s">
        <v>19</v>
      </c>
    </row>
    <row r="92" spans="1:12" x14ac:dyDescent="0.25">
      <c r="A92" t="s">
        <v>167</v>
      </c>
      <c r="B92" s="1">
        <v>45390</v>
      </c>
      <c r="C92" t="s">
        <v>3</v>
      </c>
      <c r="D92" t="s">
        <v>69</v>
      </c>
      <c r="E92" t="s">
        <v>29</v>
      </c>
      <c r="F92" t="s">
        <v>51</v>
      </c>
      <c r="G92">
        <v>18</v>
      </c>
      <c r="H92">
        <v>24357</v>
      </c>
      <c r="I92" t="s">
        <v>52</v>
      </c>
      <c r="J92">
        <v>394583.4</v>
      </c>
      <c r="K92" t="s">
        <v>22</v>
      </c>
      <c r="L92" t="s">
        <v>18</v>
      </c>
    </row>
    <row r="93" spans="1:12" x14ac:dyDescent="0.25">
      <c r="A93" t="s">
        <v>168</v>
      </c>
      <c r="B93" s="1">
        <v>45629</v>
      </c>
      <c r="C93" t="s">
        <v>3</v>
      </c>
      <c r="D93" t="s">
        <v>67</v>
      </c>
      <c r="E93" t="s">
        <v>29</v>
      </c>
      <c r="F93" t="s">
        <v>89</v>
      </c>
      <c r="G93">
        <v>2</v>
      </c>
      <c r="H93">
        <v>5869</v>
      </c>
      <c r="I93" t="s">
        <v>52</v>
      </c>
      <c r="J93">
        <v>10564.2</v>
      </c>
      <c r="K93" t="s">
        <v>24</v>
      </c>
      <c r="L93" t="s">
        <v>20</v>
      </c>
    </row>
    <row r="94" spans="1:12" x14ac:dyDescent="0.25">
      <c r="A94" t="s">
        <v>169</v>
      </c>
      <c r="B94" s="1">
        <v>45454</v>
      </c>
      <c r="C94" t="s">
        <v>2</v>
      </c>
      <c r="D94" t="s">
        <v>54</v>
      </c>
      <c r="E94" t="s">
        <v>29</v>
      </c>
      <c r="F94" t="s">
        <v>72</v>
      </c>
      <c r="G94">
        <v>16</v>
      </c>
      <c r="H94">
        <v>53108</v>
      </c>
      <c r="I94" t="s">
        <v>60</v>
      </c>
      <c r="J94">
        <v>807241.6</v>
      </c>
      <c r="K94" t="s">
        <v>28</v>
      </c>
      <c r="L94" t="s">
        <v>20</v>
      </c>
    </row>
    <row r="95" spans="1:12" x14ac:dyDescent="0.25">
      <c r="A95" t="s">
        <v>170</v>
      </c>
      <c r="B95" s="1">
        <v>45460</v>
      </c>
      <c r="C95" t="s">
        <v>4</v>
      </c>
      <c r="D95" t="s">
        <v>57</v>
      </c>
      <c r="E95" t="s">
        <v>29</v>
      </c>
      <c r="F95" t="s">
        <v>47</v>
      </c>
      <c r="G95">
        <v>4</v>
      </c>
      <c r="H95">
        <v>93272</v>
      </c>
      <c r="I95" t="s">
        <v>52</v>
      </c>
      <c r="J95">
        <v>335779.2</v>
      </c>
      <c r="K95" t="s">
        <v>27</v>
      </c>
      <c r="L95" t="s">
        <v>18</v>
      </c>
    </row>
    <row r="96" spans="1:12" x14ac:dyDescent="0.25">
      <c r="A96" t="s">
        <v>171</v>
      </c>
      <c r="B96" s="1">
        <v>45359</v>
      </c>
      <c r="C96" t="s">
        <v>2</v>
      </c>
      <c r="D96" t="s">
        <v>46</v>
      </c>
      <c r="E96" t="s">
        <v>29</v>
      </c>
      <c r="F96" t="s">
        <v>89</v>
      </c>
      <c r="G96">
        <v>1</v>
      </c>
      <c r="H96">
        <v>94412</v>
      </c>
      <c r="I96" t="s">
        <v>48</v>
      </c>
      <c r="J96">
        <v>94412</v>
      </c>
      <c r="K96" t="s">
        <v>23</v>
      </c>
      <c r="L96" t="s">
        <v>19</v>
      </c>
    </row>
    <row r="97" spans="1:12" x14ac:dyDescent="0.25">
      <c r="A97" t="s">
        <v>172</v>
      </c>
      <c r="B97" s="1">
        <v>45595</v>
      </c>
      <c r="C97" t="s">
        <v>2</v>
      </c>
      <c r="D97" t="s">
        <v>62</v>
      </c>
      <c r="E97" t="s">
        <v>29</v>
      </c>
      <c r="F97" t="s">
        <v>51</v>
      </c>
      <c r="G97">
        <v>20</v>
      </c>
      <c r="H97">
        <v>61871</v>
      </c>
      <c r="I97" t="s">
        <v>60</v>
      </c>
      <c r="J97">
        <v>1175549</v>
      </c>
      <c r="K97" t="s">
        <v>26</v>
      </c>
      <c r="L97" t="s">
        <v>19</v>
      </c>
    </row>
    <row r="98" spans="1:12" x14ac:dyDescent="0.25">
      <c r="A98" t="s">
        <v>173</v>
      </c>
      <c r="B98" s="1">
        <v>45426</v>
      </c>
      <c r="C98" t="s">
        <v>4</v>
      </c>
      <c r="D98" t="s">
        <v>93</v>
      </c>
      <c r="E98" t="s">
        <v>31</v>
      </c>
      <c r="F98" t="s">
        <v>65</v>
      </c>
      <c r="G98">
        <v>3</v>
      </c>
      <c r="H98">
        <v>89416</v>
      </c>
      <c r="I98" t="s">
        <v>52</v>
      </c>
      <c r="J98">
        <v>241423.2</v>
      </c>
      <c r="K98" t="s">
        <v>21</v>
      </c>
      <c r="L98" t="s">
        <v>20</v>
      </c>
    </row>
    <row r="99" spans="1:12" x14ac:dyDescent="0.25">
      <c r="A99" t="s">
        <v>174</v>
      </c>
      <c r="B99" s="1">
        <v>45419</v>
      </c>
      <c r="C99" t="s">
        <v>4</v>
      </c>
      <c r="D99" t="s">
        <v>93</v>
      </c>
      <c r="E99" t="s">
        <v>29</v>
      </c>
      <c r="F99" t="s">
        <v>47</v>
      </c>
      <c r="G99">
        <v>1</v>
      </c>
      <c r="H99">
        <v>110450</v>
      </c>
      <c r="I99" t="s">
        <v>52</v>
      </c>
      <c r="J99">
        <v>99405</v>
      </c>
      <c r="K99" t="s">
        <v>27</v>
      </c>
      <c r="L99" t="s">
        <v>19</v>
      </c>
    </row>
    <row r="100" spans="1:12" x14ac:dyDescent="0.25">
      <c r="A100" t="s">
        <v>175</v>
      </c>
      <c r="B100" s="1">
        <v>45313</v>
      </c>
      <c r="C100" t="s">
        <v>3</v>
      </c>
      <c r="D100" t="s">
        <v>59</v>
      </c>
      <c r="E100" t="s">
        <v>29</v>
      </c>
      <c r="F100" t="s">
        <v>55</v>
      </c>
      <c r="G100">
        <v>14</v>
      </c>
      <c r="H100">
        <v>119381</v>
      </c>
      <c r="I100" t="s">
        <v>60</v>
      </c>
      <c r="J100">
        <v>1587767.3</v>
      </c>
      <c r="K100" t="s">
        <v>22</v>
      </c>
      <c r="L100" t="s">
        <v>18</v>
      </c>
    </row>
    <row r="101" spans="1:12" x14ac:dyDescent="0.25">
      <c r="A101" t="s">
        <v>176</v>
      </c>
      <c r="B101" s="1">
        <v>45329</v>
      </c>
      <c r="C101" t="s">
        <v>3</v>
      </c>
      <c r="D101" t="s">
        <v>59</v>
      </c>
      <c r="E101" t="s">
        <v>31</v>
      </c>
      <c r="F101" t="s">
        <v>98</v>
      </c>
      <c r="G101">
        <v>6</v>
      </c>
      <c r="H101">
        <v>137508</v>
      </c>
      <c r="I101" t="s">
        <v>48</v>
      </c>
      <c r="J101">
        <v>825048</v>
      </c>
      <c r="K101" t="s">
        <v>25</v>
      </c>
      <c r="L101" t="s">
        <v>18</v>
      </c>
    </row>
    <row r="102" spans="1:12" x14ac:dyDescent="0.25">
      <c r="A102" t="s">
        <v>177</v>
      </c>
      <c r="B102" s="1">
        <v>45342</v>
      </c>
      <c r="C102" t="s">
        <v>2</v>
      </c>
      <c r="D102" t="s">
        <v>54</v>
      </c>
      <c r="E102" t="s">
        <v>32</v>
      </c>
      <c r="F102" t="s">
        <v>70</v>
      </c>
      <c r="G102">
        <v>22</v>
      </c>
      <c r="H102">
        <v>139967</v>
      </c>
      <c r="I102" t="s">
        <v>48</v>
      </c>
      <c r="J102">
        <v>3079274</v>
      </c>
      <c r="K102" t="s">
        <v>22</v>
      </c>
      <c r="L102" t="s">
        <v>19</v>
      </c>
    </row>
    <row r="103" spans="1:12" x14ac:dyDescent="0.25">
      <c r="A103" t="s">
        <v>178</v>
      </c>
      <c r="B103" s="1">
        <v>45574</v>
      </c>
      <c r="C103" t="s">
        <v>3</v>
      </c>
      <c r="D103" t="s">
        <v>67</v>
      </c>
      <c r="E103" t="s">
        <v>29</v>
      </c>
      <c r="F103" t="s">
        <v>51</v>
      </c>
      <c r="G103">
        <v>2</v>
      </c>
      <c r="H103">
        <v>57045</v>
      </c>
      <c r="I103" t="s">
        <v>60</v>
      </c>
      <c r="J103">
        <v>108385.5</v>
      </c>
      <c r="K103" t="s">
        <v>25</v>
      </c>
      <c r="L103" t="s">
        <v>20</v>
      </c>
    </row>
    <row r="104" spans="1:12" x14ac:dyDescent="0.25">
      <c r="A104" t="s">
        <v>179</v>
      </c>
      <c r="B104" s="1">
        <v>45388</v>
      </c>
      <c r="C104" t="s">
        <v>4</v>
      </c>
      <c r="D104" t="s">
        <v>57</v>
      </c>
      <c r="E104" t="s">
        <v>29</v>
      </c>
      <c r="F104" t="s">
        <v>55</v>
      </c>
      <c r="G104">
        <v>15</v>
      </c>
      <c r="H104">
        <v>110455</v>
      </c>
      <c r="I104" t="s">
        <v>48</v>
      </c>
      <c r="J104">
        <v>1656825</v>
      </c>
      <c r="K104" t="s">
        <v>23</v>
      </c>
      <c r="L104" t="s">
        <v>18</v>
      </c>
    </row>
    <row r="105" spans="1:12" x14ac:dyDescent="0.25">
      <c r="A105" t="s">
        <v>180</v>
      </c>
      <c r="B105" s="1">
        <v>45608</v>
      </c>
      <c r="C105" t="s">
        <v>3</v>
      </c>
      <c r="D105" t="s">
        <v>69</v>
      </c>
      <c r="E105" t="s">
        <v>29</v>
      </c>
      <c r="F105" t="s">
        <v>47</v>
      </c>
      <c r="G105">
        <v>16</v>
      </c>
      <c r="H105">
        <v>48714</v>
      </c>
      <c r="I105" t="s">
        <v>60</v>
      </c>
      <c r="J105">
        <v>740452.8</v>
      </c>
      <c r="K105" t="s">
        <v>23</v>
      </c>
      <c r="L105" t="s">
        <v>18</v>
      </c>
    </row>
    <row r="106" spans="1:12" x14ac:dyDescent="0.25">
      <c r="A106" t="s">
        <v>181</v>
      </c>
      <c r="B106" s="1">
        <v>45295</v>
      </c>
      <c r="C106" t="s">
        <v>3</v>
      </c>
      <c r="D106" t="s">
        <v>59</v>
      </c>
      <c r="E106" t="s">
        <v>29</v>
      </c>
      <c r="F106" t="s">
        <v>47</v>
      </c>
      <c r="G106">
        <v>3</v>
      </c>
      <c r="H106">
        <v>112616</v>
      </c>
      <c r="I106" t="s">
        <v>52</v>
      </c>
      <c r="J106">
        <v>304063.2</v>
      </c>
      <c r="K106" t="s">
        <v>27</v>
      </c>
      <c r="L106" t="s">
        <v>19</v>
      </c>
    </row>
    <row r="107" spans="1:12" x14ac:dyDescent="0.25">
      <c r="A107" t="s">
        <v>182</v>
      </c>
      <c r="B107" s="1">
        <v>45308</v>
      </c>
      <c r="C107" t="s">
        <v>2</v>
      </c>
      <c r="D107" t="s">
        <v>62</v>
      </c>
      <c r="E107" t="s">
        <v>29</v>
      </c>
      <c r="F107" t="s">
        <v>89</v>
      </c>
      <c r="G107">
        <v>12</v>
      </c>
      <c r="H107">
        <v>127123</v>
      </c>
      <c r="I107" t="s">
        <v>48</v>
      </c>
      <c r="J107">
        <v>1525476</v>
      </c>
      <c r="K107" t="s">
        <v>26</v>
      </c>
      <c r="L107" t="s">
        <v>20</v>
      </c>
    </row>
    <row r="108" spans="1:12" x14ac:dyDescent="0.25">
      <c r="A108" t="s">
        <v>183</v>
      </c>
      <c r="B108" s="1">
        <v>45449</v>
      </c>
      <c r="C108" t="s">
        <v>4</v>
      </c>
      <c r="D108" t="s">
        <v>50</v>
      </c>
      <c r="E108" t="s">
        <v>30</v>
      </c>
      <c r="F108" t="s">
        <v>91</v>
      </c>
      <c r="G108">
        <v>14</v>
      </c>
      <c r="H108">
        <v>39212</v>
      </c>
      <c r="I108" t="s">
        <v>48</v>
      </c>
      <c r="J108">
        <v>548968</v>
      </c>
      <c r="K108" t="s">
        <v>26</v>
      </c>
      <c r="L108" t="s">
        <v>19</v>
      </c>
    </row>
    <row r="109" spans="1:12" x14ac:dyDescent="0.25">
      <c r="A109" t="s">
        <v>184</v>
      </c>
      <c r="B109" s="1">
        <v>45297</v>
      </c>
      <c r="C109" t="s">
        <v>4</v>
      </c>
      <c r="D109" t="s">
        <v>57</v>
      </c>
      <c r="E109" t="s">
        <v>32</v>
      </c>
      <c r="F109" t="s">
        <v>122</v>
      </c>
      <c r="G109">
        <v>3</v>
      </c>
      <c r="H109">
        <v>66208</v>
      </c>
      <c r="I109" t="s">
        <v>52</v>
      </c>
      <c r="J109">
        <v>178761.60000000001</v>
      </c>
      <c r="K109" t="s">
        <v>22</v>
      </c>
      <c r="L109" t="s">
        <v>20</v>
      </c>
    </row>
    <row r="110" spans="1:12" x14ac:dyDescent="0.25">
      <c r="A110" t="s">
        <v>185</v>
      </c>
      <c r="B110" s="1">
        <v>45328</v>
      </c>
      <c r="C110" t="s">
        <v>4</v>
      </c>
      <c r="D110" t="s">
        <v>50</v>
      </c>
      <c r="E110" t="s">
        <v>29</v>
      </c>
      <c r="F110" t="s">
        <v>51</v>
      </c>
      <c r="G110">
        <v>24</v>
      </c>
      <c r="H110">
        <v>6420</v>
      </c>
      <c r="I110" t="s">
        <v>48</v>
      </c>
      <c r="J110">
        <v>154080</v>
      </c>
      <c r="K110" t="s">
        <v>27</v>
      </c>
      <c r="L110" t="s">
        <v>18</v>
      </c>
    </row>
    <row r="111" spans="1:12" x14ac:dyDescent="0.25">
      <c r="A111" t="s">
        <v>186</v>
      </c>
      <c r="B111" s="1">
        <v>45593</v>
      </c>
      <c r="C111" t="s">
        <v>2</v>
      </c>
      <c r="D111" t="s">
        <v>62</v>
      </c>
      <c r="E111" t="s">
        <v>30</v>
      </c>
      <c r="F111" t="s">
        <v>85</v>
      </c>
      <c r="G111">
        <v>21</v>
      </c>
      <c r="H111">
        <v>118294</v>
      </c>
      <c r="I111" t="s">
        <v>48</v>
      </c>
      <c r="J111">
        <v>2484174</v>
      </c>
      <c r="K111" t="s">
        <v>28</v>
      </c>
      <c r="L111" t="s">
        <v>18</v>
      </c>
    </row>
    <row r="112" spans="1:12" x14ac:dyDescent="0.25">
      <c r="A112" t="s">
        <v>187</v>
      </c>
      <c r="B112" s="1">
        <v>45390</v>
      </c>
      <c r="C112" t="s">
        <v>2</v>
      </c>
      <c r="D112" t="s">
        <v>62</v>
      </c>
      <c r="E112" t="s">
        <v>32</v>
      </c>
      <c r="F112" t="s">
        <v>109</v>
      </c>
      <c r="G112">
        <v>1</v>
      </c>
      <c r="H112">
        <v>127019</v>
      </c>
      <c r="I112" t="s">
        <v>60</v>
      </c>
      <c r="J112">
        <v>120668.05</v>
      </c>
      <c r="K112" t="s">
        <v>22</v>
      </c>
      <c r="L112" t="s">
        <v>19</v>
      </c>
    </row>
    <row r="113" spans="1:12" x14ac:dyDescent="0.25">
      <c r="A113" t="s">
        <v>188</v>
      </c>
      <c r="B113" s="1">
        <v>45482</v>
      </c>
      <c r="C113" t="s">
        <v>4</v>
      </c>
      <c r="D113" t="s">
        <v>57</v>
      </c>
      <c r="E113" t="s">
        <v>32</v>
      </c>
      <c r="F113" t="s">
        <v>122</v>
      </c>
      <c r="G113">
        <v>21</v>
      </c>
      <c r="H113">
        <v>9102</v>
      </c>
      <c r="I113" t="s">
        <v>60</v>
      </c>
      <c r="J113">
        <v>181584.9</v>
      </c>
      <c r="K113" t="s">
        <v>22</v>
      </c>
      <c r="L113" t="s">
        <v>20</v>
      </c>
    </row>
    <row r="114" spans="1:12" x14ac:dyDescent="0.25">
      <c r="A114" t="s">
        <v>189</v>
      </c>
      <c r="B114" s="1">
        <v>45452</v>
      </c>
      <c r="C114" t="s">
        <v>2</v>
      </c>
      <c r="D114" t="s">
        <v>62</v>
      </c>
      <c r="E114" t="s">
        <v>30</v>
      </c>
      <c r="F114" t="s">
        <v>91</v>
      </c>
      <c r="G114">
        <v>3</v>
      </c>
      <c r="H114">
        <v>29641</v>
      </c>
      <c r="I114" t="s">
        <v>52</v>
      </c>
      <c r="J114">
        <v>80030.7</v>
      </c>
      <c r="K114" t="s">
        <v>26</v>
      </c>
      <c r="L114" t="s">
        <v>19</v>
      </c>
    </row>
    <row r="115" spans="1:12" x14ac:dyDescent="0.25">
      <c r="A115" t="s">
        <v>190</v>
      </c>
      <c r="B115" s="1">
        <v>45572</v>
      </c>
      <c r="C115" t="s">
        <v>3</v>
      </c>
      <c r="D115" t="s">
        <v>59</v>
      </c>
      <c r="E115" t="s">
        <v>31</v>
      </c>
      <c r="F115" t="s">
        <v>106</v>
      </c>
      <c r="G115">
        <v>10</v>
      </c>
      <c r="H115">
        <v>106746</v>
      </c>
      <c r="I115" t="s">
        <v>60</v>
      </c>
      <c r="J115">
        <v>1014087</v>
      </c>
      <c r="K115" t="s">
        <v>27</v>
      </c>
      <c r="L115" t="s">
        <v>19</v>
      </c>
    </row>
    <row r="116" spans="1:12" x14ac:dyDescent="0.25">
      <c r="A116" t="s">
        <v>191</v>
      </c>
      <c r="B116" s="1">
        <v>45651</v>
      </c>
      <c r="C116" t="s">
        <v>3</v>
      </c>
      <c r="D116" t="s">
        <v>69</v>
      </c>
      <c r="E116" t="s">
        <v>31</v>
      </c>
      <c r="F116" t="s">
        <v>75</v>
      </c>
      <c r="G116">
        <v>14</v>
      </c>
      <c r="H116">
        <v>39631</v>
      </c>
      <c r="I116" t="s">
        <v>48</v>
      </c>
      <c r="J116">
        <v>554834</v>
      </c>
      <c r="K116" t="s">
        <v>25</v>
      </c>
      <c r="L116" t="s">
        <v>18</v>
      </c>
    </row>
    <row r="117" spans="1:12" x14ac:dyDescent="0.25">
      <c r="A117" t="s">
        <v>192</v>
      </c>
      <c r="B117" s="1">
        <v>45405</v>
      </c>
      <c r="C117" t="s">
        <v>4</v>
      </c>
      <c r="D117" t="s">
        <v>50</v>
      </c>
      <c r="E117" t="s">
        <v>32</v>
      </c>
      <c r="F117" t="s">
        <v>87</v>
      </c>
      <c r="G117">
        <v>15</v>
      </c>
      <c r="H117">
        <v>14093</v>
      </c>
      <c r="I117" t="s">
        <v>48</v>
      </c>
      <c r="J117">
        <v>211395</v>
      </c>
      <c r="K117" t="s">
        <v>23</v>
      </c>
      <c r="L117" t="s">
        <v>18</v>
      </c>
    </row>
    <row r="118" spans="1:12" x14ac:dyDescent="0.25">
      <c r="A118" t="s">
        <v>193</v>
      </c>
      <c r="B118" s="1">
        <v>45442</v>
      </c>
      <c r="C118" t="s">
        <v>3</v>
      </c>
      <c r="D118" t="s">
        <v>67</v>
      </c>
      <c r="E118" t="s">
        <v>31</v>
      </c>
      <c r="F118" t="s">
        <v>106</v>
      </c>
      <c r="G118">
        <v>2</v>
      </c>
      <c r="H118">
        <v>59958</v>
      </c>
      <c r="I118" t="s">
        <v>52</v>
      </c>
      <c r="J118">
        <v>107924.4</v>
      </c>
      <c r="K118" t="s">
        <v>22</v>
      </c>
      <c r="L118" t="s">
        <v>20</v>
      </c>
    </row>
    <row r="119" spans="1:12" x14ac:dyDescent="0.25">
      <c r="A119" t="s">
        <v>194</v>
      </c>
      <c r="B119" s="1">
        <v>45446</v>
      </c>
      <c r="C119" t="s">
        <v>4</v>
      </c>
      <c r="D119" t="s">
        <v>93</v>
      </c>
      <c r="E119" t="s">
        <v>29</v>
      </c>
      <c r="F119" t="s">
        <v>72</v>
      </c>
      <c r="G119">
        <v>10</v>
      </c>
      <c r="H119">
        <v>108864</v>
      </c>
      <c r="I119" t="s">
        <v>48</v>
      </c>
      <c r="J119">
        <v>1088640</v>
      </c>
      <c r="K119" t="s">
        <v>25</v>
      </c>
      <c r="L119" t="s">
        <v>19</v>
      </c>
    </row>
    <row r="120" spans="1:12" x14ac:dyDescent="0.25">
      <c r="A120" t="s">
        <v>195</v>
      </c>
      <c r="B120" s="1">
        <v>45590</v>
      </c>
      <c r="C120" t="s">
        <v>3</v>
      </c>
      <c r="D120" t="s">
        <v>59</v>
      </c>
      <c r="E120" t="s">
        <v>30</v>
      </c>
      <c r="F120" t="s">
        <v>124</v>
      </c>
      <c r="G120">
        <v>22</v>
      </c>
      <c r="H120">
        <v>108510</v>
      </c>
      <c r="I120" t="s">
        <v>48</v>
      </c>
      <c r="J120">
        <v>2387220</v>
      </c>
      <c r="K120" t="s">
        <v>28</v>
      </c>
      <c r="L120" t="s">
        <v>20</v>
      </c>
    </row>
    <row r="121" spans="1:12" x14ac:dyDescent="0.25">
      <c r="A121" t="s">
        <v>196</v>
      </c>
      <c r="B121" s="1">
        <v>45461</v>
      </c>
      <c r="C121" t="s">
        <v>4</v>
      </c>
      <c r="D121" t="s">
        <v>93</v>
      </c>
      <c r="E121" t="s">
        <v>32</v>
      </c>
      <c r="F121" t="s">
        <v>109</v>
      </c>
      <c r="G121">
        <v>23</v>
      </c>
      <c r="H121">
        <v>32592</v>
      </c>
      <c r="I121" t="s">
        <v>60</v>
      </c>
      <c r="J121">
        <v>712135.2</v>
      </c>
      <c r="K121" t="s">
        <v>24</v>
      </c>
      <c r="L121" t="s">
        <v>18</v>
      </c>
    </row>
    <row r="122" spans="1:12" x14ac:dyDescent="0.25">
      <c r="A122" t="s">
        <v>197</v>
      </c>
      <c r="B122" s="1">
        <v>45304</v>
      </c>
      <c r="C122" t="s">
        <v>4</v>
      </c>
      <c r="D122" t="s">
        <v>57</v>
      </c>
      <c r="E122" t="s">
        <v>32</v>
      </c>
      <c r="F122" t="s">
        <v>96</v>
      </c>
      <c r="G122">
        <v>7</v>
      </c>
      <c r="H122">
        <v>113627</v>
      </c>
      <c r="I122" t="s">
        <v>60</v>
      </c>
      <c r="J122">
        <v>755619.55</v>
      </c>
      <c r="K122" t="s">
        <v>26</v>
      </c>
      <c r="L122" t="s">
        <v>20</v>
      </c>
    </row>
    <row r="123" spans="1:12" x14ac:dyDescent="0.25">
      <c r="A123" t="s">
        <v>198</v>
      </c>
      <c r="B123" s="1">
        <v>45464</v>
      </c>
      <c r="C123" t="s">
        <v>3</v>
      </c>
      <c r="D123" t="s">
        <v>67</v>
      </c>
      <c r="E123" t="s">
        <v>31</v>
      </c>
      <c r="F123" t="s">
        <v>106</v>
      </c>
      <c r="G123">
        <v>20</v>
      </c>
      <c r="H123">
        <v>5368</v>
      </c>
      <c r="I123" t="s">
        <v>52</v>
      </c>
      <c r="J123">
        <v>96624</v>
      </c>
      <c r="K123" t="s">
        <v>26</v>
      </c>
      <c r="L123" t="s">
        <v>18</v>
      </c>
    </row>
    <row r="124" spans="1:12" x14ac:dyDescent="0.25">
      <c r="A124" t="s">
        <v>199</v>
      </c>
      <c r="B124" s="1">
        <v>45555</v>
      </c>
      <c r="C124" t="s">
        <v>4</v>
      </c>
      <c r="D124" t="s">
        <v>50</v>
      </c>
      <c r="E124" t="s">
        <v>29</v>
      </c>
      <c r="F124" t="s">
        <v>47</v>
      </c>
      <c r="G124">
        <v>14</v>
      </c>
      <c r="H124">
        <v>73031</v>
      </c>
      <c r="I124" t="s">
        <v>48</v>
      </c>
      <c r="J124">
        <v>1022434</v>
      </c>
      <c r="K124" t="s">
        <v>27</v>
      </c>
      <c r="L124" t="s">
        <v>18</v>
      </c>
    </row>
    <row r="125" spans="1:12" x14ac:dyDescent="0.25">
      <c r="A125" t="s">
        <v>200</v>
      </c>
      <c r="B125" s="1">
        <v>45433</v>
      </c>
      <c r="C125" t="s">
        <v>3</v>
      </c>
      <c r="D125" t="s">
        <v>69</v>
      </c>
      <c r="E125" t="s">
        <v>31</v>
      </c>
      <c r="F125" t="s">
        <v>106</v>
      </c>
      <c r="G125">
        <v>12</v>
      </c>
      <c r="H125">
        <v>90922</v>
      </c>
      <c r="I125" t="s">
        <v>48</v>
      </c>
      <c r="J125">
        <v>1091064</v>
      </c>
      <c r="K125" t="s">
        <v>24</v>
      </c>
      <c r="L125" t="s">
        <v>19</v>
      </c>
    </row>
    <row r="126" spans="1:12" x14ac:dyDescent="0.25">
      <c r="A126" t="s">
        <v>201</v>
      </c>
      <c r="B126" s="1">
        <v>45434</v>
      </c>
      <c r="C126" t="s">
        <v>3</v>
      </c>
      <c r="D126" t="s">
        <v>59</v>
      </c>
      <c r="E126" t="s">
        <v>32</v>
      </c>
      <c r="F126" t="s">
        <v>122</v>
      </c>
      <c r="G126">
        <v>2</v>
      </c>
      <c r="H126">
        <v>145038</v>
      </c>
      <c r="I126" t="s">
        <v>60</v>
      </c>
      <c r="J126">
        <v>275572.2</v>
      </c>
      <c r="K126" t="s">
        <v>22</v>
      </c>
      <c r="L126" t="s">
        <v>19</v>
      </c>
    </row>
    <row r="127" spans="1:12" x14ac:dyDescent="0.25">
      <c r="A127" t="s">
        <v>202</v>
      </c>
      <c r="B127" s="1">
        <v>45633</v>
      </c>
      <c r="C127" t="s">
        <v>3</v>
      </c>
      <c r="D127" t="s">
        <v>69</v>
      </c>
      <c r="E127" t="s">
        <v>31</v>
      </c>
      <c r="F127" t="s">
        <v>80</v>
      </c>
      <c r="G127">
        <v>19</v>
      </c>
      <c r="H127">
        <v>96848</v>
      </c>
      <c r="I127" t="s">
        <v>52</v>
      </c>
      <c r="J127">
        <v>1656100.8</v>
      </c>
      <c r="K127" t="s">
        <v>21</v>
      </c>
      <c r="L127" t="s">
        <v>19</v>
      </c>
    </row>
    <row r="128" spans="1:12" x14ac:dyDescent="0.25">
      <c r="A128" t="s">
        <v>203</v>
      </c>
      <c r="B128" s="1">
        <v>45477</v>
      </c>
      <c r="C128" t="s">
        <v>4</v>
      </c>
      <c r="D128" t="s">
        <v>57</v>
      </c>
      <c r="E128" t="s">
        <v>31</v>
      </c>
      <c r="F128" t="s">
        <v>98</v>
      </c>
      <c r="G128">
        <v>22</v>
      </c>
      <c r="H128">
        <v>58609</v>
      </c>
      <c r="I128" t="s">
        <v>60</v>
      </c>
      <c r="J128">
        <v>1224928.1000000001</v>
      </c>
      <c r="K128" t="s">
        <v>28</v>
      </c>
      <c r="L128" t="s">
        <v>20</v>
      </c>
    </row>
    <row r="129" spans="1:12" x14ac:dyDescent="0.25">
      <c r="A129" t="s">
        <v>204</v>
      </c>
      <c r="B129" s="1">
        <v>45349</v>
      </c>
      <c r="C129" t="s">
        <v>2</v>
      </c>
      <c r="D129" t="s">
        <v>62</v>
      </c>
      <c r="E129" t="s">
        <v>29</v>
      </c>
      <c r="F129" t="s">
        <v>72</v>
      </c>
      <c r="G129">
        <v>22</v>
      </c>
      <c r="H129">
        <v>34024</v>
      </c>
      <c r="I129" t="s">
        <v>48</v>
      </c>
      <c r="J129">
        <v>748528</v>
      </c>
      <c r="K129" t="s">
        <v>28</v>
      </c>
      <c r="L129" t="s">
        <v>19</v>
      </c>
    </row>
    <row r="130" spans="1:12" x14ac:dyDescent="0.25">
      <c r="A130" t="s">
        <v>205</v>
      </c>
      <c r="B130" s="1">
        <v>45471</v>
      </c>
      <c r="C130" t="s">
        <v>4</v>
      </c>
      <c r="D130" t="s">
        <v>93</v>
      </c>
      <c r="E130" t="s">
        <v>31</v>
      </c>
      <c r="F130" t="s">
        <v>106</v>
      </c>
      <c r="G130">
        <v>10</v>
      </c>
      <c r="H130">
        <v>130813</v>
      </c>
      <c r="I130" t="s">
        <v>48</v>
      </c>
      <c r="J130">
        <v>1308130</v>
      </c>
      <c r="K130" t="s">
        <v>24</v>
      </c>
      <c r="L130" t="s">
        <v>18</v>
      </c>
    </row>
    <row r="131" spans="1:12" x14ac:dyDescent="0.25">
      <c r="A131" t="s">
        <v>206</v>
      </c>
      <c r="B131" s="1">
        <v>45562</v>
      </c>
      <c r="C131" t="s">
        <v>2</v>
      </c>
      <c r="D131" t="s">
        <v>54</v>
      </c>
      <c r="E131" t="s">
        <v>29</v>
      </c>
      <c r="F131" t="s">
        <v>51</v>
      </c>
      <c r="G131">
        <v>22</v>
      </c>
      <c r="H131">
        <v>149410</v>
      </c>
      <c r="I131" t="s">
        <v>60</v>
      </c>
      <c r="J131">
        <v>3122669</v>
      </c>
      <c r="K131" t="s">
        <v>28</v>
      </c>
      <c r="L131" t="s">
        <v>20</v>
      </c>
    </row>
    <row r="132" spans="1:12" x14ac:dyDescent="0.25">
      <c r="A132" t="s">
        <v>207</v>
      </c>
      <c r="B132" s="1">
        <v>45392</v>
      </c>
      <c r="C132" t="s">
        <v>3</v>
      </c>
      <c r="D132" t="s">
        <v>59</v>
      </c>
      <c r="E132" t="s">
        <v>30</v>
      </c>
      <c r="F132" t="s">
        <v>85</v>
      </c>
      <c r="G132">
        <v>1</v>
      </c>
      <c r="H132">
        <v>6051</v>
      </c>
      <c r="I132" t="s">
        <v>52</v>
      </c>
      <c r="J132">
        <v>5445.9</v>
      </c>
      <c r="K132" t="s">
        <v>27</v>
      </c>
      <c r="L132" t="s">
        <v>20</v>
      </c>
    </row>
    <row r="133" spans="1:12" x14ac:dyDescent="0.25">
      <c r="A133" t="s">
        <v>208</v>
      </c>
      <c r="B133" s="1">
        <v>45399</v>
      </c>
      <c r="C133" t="s">
        <v>3</v>
      </c>
      <c r="D133" t="s">
        <v>67</v>
      </c>
      <c r="E133" t="s">
        <v>31</v>
      </c>
      <c r="F133" t="s">
        <v>98</v>
      </c>
      <c r="G133">
        <v>5</v>
      </c>
      <c r="H133">
        <v>90235</v>
      </c>
      <c r="I133" t="s">
        <v>60</v>
      </c>
      <c r="J133">
        <v>428616.25</v>
      </c>
      <c r="K133" t="s">
        <v>22</v>
      </c>
      <c r="L133" t="s">
        <v>18</v>
      </c>
    </row>
    <row r="134" spans="1:12" x14ac:dyDescent="0.25">
      <c r="A134" t="s">
        <v>209</v>
      </c>
      <c r="B134" s="1">
        <v>45553</v>
      </c>
      <c r="C134" t="s">
        <v>2</v>
      </c>
      <c r="D134" t="s">
        <v>54</v>
      </c>
      <c r="E134" t="s">
        <v>29</v>
      </c>
      <c r="F134" t="s">
        <v>51</v>
      </c>
      <c r="G134">
        <v>13</v>
      </c>
      <c r="H134">
        <v>76523</v>
      </c>
      <c r="I134" t="s">
        <v>52</v>
      </c>
      <c r="J134">
        <v>895319.1</v>
      </c>
      <c r="K134" t="s">
        <v>24</v>
      </c>
      <c r="L134" t="s">
        <v>20</v>
      </c>
    </row>
    <row r="135" spans="1:12" x14ac:dyDescent="0.25">
      <c r="A135" t="s">
        <v>210</v>
      </c>
      <c r="B135" s="1">
        <v>45435</v>
      </c>
      <c r="C135" t="s">
        <v>2</v>
      </c>
      <c r="D135" t="s">
        <v>54</v>
      </c>
      <c r="E135" t="s">
        <v>29</v>
      </c>
      <c r="F135" t="s">
        <v>55</v>
      </c>
      <c r="G135">
        <v>13</v>
      </c>
      <c r="H135">
        <v>20019</v>
      </c>
      <c r="I135" t="s">
        <v>52</v>
      </c>
      <c r="J135">
        <v>234222.3</v>
      </c>
      <c r="K135" t="s">
        <v>23</v>
      </c>
      <c r="L135" t="s">
        <v>19</v>
      </c>
    </row>
    <row r="136" spans="1:12" x14ac:dyDescent="0.25">
      <c r="A136" t="s">
        <v>211</v>
      </c>
      <c r="B136" s="1">
        <v>45397</v>
      </c>
      <c r="C136" t="s">
        <v>3</v>
      </c>
      <c r="D136" t="s">
        <v>69</v>
      </c>
      <c r="E136" t="s">
        <v>30</v>
      </c>
      <c r="F136" t="s">
        <v>63</v>
      </c>
      <c r="G136">
        <v>19</v>
      </c>
      <c r="H136">
        <v>89672</v>
      </c>
      <c r="I136" t="s">
        <v>48</v>
      </c>
      <c r="J136">
        <v>1703768</v>
      </c>
      <c r="K136" t="s">
        <v>24</v>
      </c>
      <c r="L136" t="s">
        <v>20</v>
      </c>
    </row>
    <row r="137" spans="1:12" x14ac:dyDescent="0.25">
      <c r="A137" t="s">
        <v>212</v>
      </c>
      <c r="B137" s="1">
        <v>45411</v>
      </c>
      <c r="C137" t="s">
        <v>4</v>
      </c>
      <c r="D137" t="s">
        <v>50</v>
      </c>
      <c r="E137" t="s">
        <v>32</v>
      </c>
      <c r="F137" t="s">
        <v>109</v>
      </c>
      <c r="G137">
        <v>19</v>
      </c>
      <c r="H137">
        <v>31251</v>
      </c>
      <c r="I137" t="s">
        <v>52</v>
      </c>
      <c r="J137">
        <v>534392.1</v>
      </c>
      <c r="K137" t="s">
        <v>23</v>
      </c>
      <c r="L137" t="s">
        <v>20</v>
      </c>
    </row>
    <row r="138" spans="1:12" x14ac:dyDescent="0.25">
      <c r="A138" t="s">
        <v>213</v>
      </c>
      <c r="B138" s="1">
        <v>45349</v>
      </c>
      <c r="C138" t="s">
        <v>3</v>
      </c>
      <c r="D138" t="s">
        <v>59</v>
      </c>
      <c r="E138" t="s">
        <v>30</v>
      </c>
      <c r="F138" t="s">
        <v>124</v>
      </c>
      <c r="G138">
        <v>23</v>
      </c>
      <c r="H138">
        <v>28945</v>
      </c>
      <c r="I138" t="s">
        <v>60</v>
      </c>
      <c r="J138">
        <v>632448.25</v>
      </c>
      <c r="K138" t="s">
        <v>26</v>
      </c>
      <c r="L138" t="s">
        <v>20</v>
      </c>
    </row>
    <row r="139" spans="1:12" x14ac:dyDescent="0.25">
      <c r="A139" t="s">
        <v>214</v>
      </c>
      <c r="B139" s="1">
        <v>45520</v>
      </c>
      <c r="C139" t="s">
        <v>3</v>
      </c>
      <c r="D139" t="s">
        <v>67</v>
      </c>
      <c r="E139" t="s">
        <v>31</v>
      </c>
      <c r="F139" t="s">
        <v>75</v>
      </c>
      <c r="G139">
        <v>21</v>
      </c>
      <c r="H139">
        <v>8949</v>
      </c>
      <c r="I139" t="s">
        <v>48</v>
      </c>
      <c r="J139">
        <v>187929</v>
      </c>
      <c r="K139" t="s">
        <v>21</v>
      </c>
      <c r="L139" t="s">
        <v>20</v>
      </c>
    </row>
    <row r="140" spans="1:12" x14ac:dyDescent="0.25">
      <c r="A140" t="s">
        <v>215</v>
      </c>
      <c r="B140" s="1">
        <v>45570</v>
      </c>
      <c r="C140" t="s">
        <v>2</v>
      </c>
      <c r="D140" t="s">
        <v>62</v>
      </c>
      <c r="E140" t="s">
        <v>30</v>
      </c>
      <c r="F140" t="s">
        <v>124</v>
      </c>
      <c r="G140">
        <v>9</v>
      </c>
      <c r="H140">
        <v>103235</v>
      </c>
      <c r="I140" t="s">
        <v>52</v>
      </c>
      <c r="J140">
        <v>836203.5</v>
      </c>
      <c r="K140" t="s">
        <v>25</v>
      </c>
      <c r="L140" t="s">
        <v>18</v>
      </c>
    </row>
    <row r="141" spans="1:12" x14ac:dyDescent="0.25">
      <c r="A141" t="s">
        <v>216</v>
      </c>
      <c r="B141" s="1">
        <v>45420</v>
      </c>
      <c r="C141" t="s">
        <v>2</v>
      </c>
      <c r="D141" t="s">
        <v>62</v>
      </c>
      <c r="E141" t="s">
        <v>30</v>
      </c>
      <c r="F141" t="s">
        <v>85</v>
      </c>
      <c r="G141">
        <v>1</v>
      </c>
      <c r="H141">
        <v>133798</v>
      </c>
      <c r="I141" t="s">
        <v>52</v>
      </c>
      <c r="J141">
        <v>120418.2</v>
      </c>
      <c r="K141" t="s">
        <v>23</v>
      </c>
      <c r="L141" t="s">
        <v>20</v>
      </c>
    </row>
    <row r="142" spans="1:12" x14ac:dyDescent="0.25">
      <c r="A142" t="s">
        <v>217</v>
      </c>
      <c r="B142" s="1">
        <v>45581</v>
      </c>
      <c r="C142" t="s">
        <v>4</v>
      </c>
      <c r="D142" t="s">
        <v>50</v>
      </c>
      <c r="E142" t="s">
        <v>31</v>
      </c>
      <c r="F142" t="s">
        <v>65</v>
      </c>
      <c r="G142">
        <v>22</v>
      </c>
      <c r="H142">
        <v>23056</v>
      </c>
      <c r="I142" t="s">
        <v>60</v>
      </c>
      <c r="J142">
        <v>481870.4</v>
      </c>
      <c r="K142" t="s">
        <v>28</v>
      </c>
      <c r="L142" t="s">
        <v>20</v>
      </c>
    </row>
    <row r="143" spans="1:12" x14ac:dyDescent="0.25">
      <c r="A143" t="s">
        <v>218</v>
      </c>
      <c r="B143" s="1">
        <v>45528</v>
      </c>
      <c r="C143" t="s">
        <v>4</v>
      </c>
      <c r="D143" t="s">
        <v>93</v>
      </c>
      <c r="E143" t="s">
        <v>30</v>
      </c>
      <c r="F143" t="s">
        <v>91</v>
      </c>
      <c r="G143">
        <v>21</v>
      </c>
      <c r="H143">
        <v>114488</v>
      </c>
      <c r="I143" t="s">
        <v>52</v>
      </c>
      <c r="J143">
        <v>2163823.2000000002</v>
      </c>
      <c r="K143" t="s">
        <v>28</v>
      </c>
      <c r="L143" t="s">
        <v>20</v>
      </c>
    </row>
    <row r="144" spans="1:12" x14ac:dyDescent="0.25">
      <c r="A144" t="s">
        <v>219</v>
      </c>
      <c r="B144" s="1">
        <v>45563</v>
      </c>
      <c r="C144" t="s">
        <v>4</v>
      </c>
      <c r="D144" t="s">
        <v>57</v>
      </c>
      <c r="E144" t="s">
        <v>29</v>
      </c>
      <c r="F144" t="s">
        <v>89</v>
      </c>
      <c r="G144">
        <v>7</v>
      </c>
      <c r="H144">
        <v>32375</v>
      </c>
      <c r="I144" t="s">
        <v>60</v>
      </c>
      <c r="J144">
        <v>215293.75</v>
      </c>
      <c r="K144" t="s">
        <v>22</v>
      </c>
      <c r="L144" t="s">
        <v>18</v>
      </c>
    </row>
    <row r="145" spans="1:12" x14ac:dyDescent="0.25">
      <c r="A145" t="s">
        <v>220</v>
      </c>
      <c r="B145" s="1">
        <v>45360</v>
      </c>
      <c r="C145" t="s">
        <v>4</v>
      </c>
      <c r="D145" t="s">
        <v>50</v>
      </c>
      <c r="E145" t="s">
        <v>29</v>
      </c>
      <c r="F145" t="s">
        <v>72</v>
      </c>
      <c r="G145">
        <v>22</v>
      </c>
      <c r="H145">
        <v>70215</v>
      </c>
      <c r="I145" t="s">
        <v>60</v>
      </c>
      <c r="J145">
        <v>1467493.5</v>
      </c>
      <c r="K145" t="s">
        <v>28</v>
      </c>
      <c r="L145" t="s">
        <v>20</v>
      </c>
    </row>
    <row r="146" spans="1:12" x14ac:dyDescent="0.25">
      <c r="A146" t="s">
        <v>221</v>
      </c>
      <c r="B146" s="1">
        <v>45377</v>
      </c>
      <c r="C146" t="s">
        <v>3</v>
      </c>
      <c r="D146" t="s">
        <v>59</v>
      </c>
      <c r="E146" t="s">
        <v>31</v>
      </c>
      <c r="F146" t="s">
        <v>75</v>
      </c>
      <c r="G146">
        <v>14</v>
      </c>
      <c r="H146">
        <v>12435</v>
      </c>
      <c r="I146" t="s">
        <v>52</v>
      </c>
      <c r="J146">
        <v>156681</v>
      </c>
      <c r="K146" t="s">
        <v>28</v>
      </c>
      <c r="L146" t="s">
        <v>18</v>
      </c>
    </row>
    <row r="147" spans="1:12" x14ac:dyDescent="0.25">
      <c r="A147" t="s">
        <v>222</v>
      </c>
      <c r="B147" s="1">
        <v>45360</v>
      </c>
      <c r="C147" t="s">
        <v>3</v>
      </c>
      <c r="D147" t="s">
        <v>69</v>
      </c>
      <c r="E147" t="s">
        <v>30</v>
      </c>
      <c r="F147" t="s">
        <v>91</v>
      </c>
      <c r="G147">
        <v>15</v>
      </c>
      <c r="H147">
        <v>81832</v>
      </c>
      <c r="I147" t="s">
        <v>60</v>
      </c>
      <c r="J147">
        <v>1166106</v>
      </c>
      <c r="K147" t="s">
        <v>26</v>
      </c>
      <c r="L147" t="s">
        <v>19</v>
      </c>
    </row>
    <row r="148" spans="1:12" x14ac:dyDescent="0.25">
      <c r="A148" t="s">
        <v>223</v>
      </c>
      <c r="B148" s="1">
        <v>45385</v>
      </c>
      <c r="C148" t="s">
        <v>4</v>
      </c>
      <c r="D148" t="s">
        <v>93</v>
      </c>
      <c r="E148" t="s">
        <v>32</v>
      </c>
      <c r="F148" t="s">
        <v>109</v>
      </c>
      <c r="G148">
        <v>14</v>
      </c>
      <c r="H148">
        <v>81781</v>
      </c>
      <c r="I148" t="s">
        <v>60</v>
      </c>
      <c r="J148">
        <v>1087687.3</v>
      </c>
      <c r="K148" t="s">
        <v>24</v>
      </c>
      <c r="L148" t="s">
        <v>18</v>
      </c>
    </row>
    <row r="149" spans="1:12" x14ac:dyDescent="0.25">
      <c r="A149" t="s">
        <v>224</v>
      </c>
      <c r="B149" s="1">
        <v>45495</v>
      </c>
      <c r="C149" t="s">
        <v>3</v>
      </c>
      <c r="D149" t="s">
        <v>67</v>
      </c>
      <c r="E149" t="s">
        <v>29</v>
      </c>
      <c r="F149" t="s">
        <v>47</v>
      </c>
      <c r="G149">
        <v>16</v>
      </c>
      <c r="H149">
        <v>124172</v>
      </c>
      <c r="I149" t="s">
        <v>52</v>
      </c>
      <c r="J149">
        <v>1788076.8</v>
      </c>
      <c r="K149" t="s">
        <v>23</v>
      </c>
      <c r="L149" t="s">
        <v>19</v>
      </c>
    </row>
    <row r="150" spans="1:12" x14ac:dyDescent="0.25">
      <c r="A150" t="s">
        <v>225</v>
      </c>
      <c r="B150" s="1">
        <v>45330</v>
      </c>
      <c r="C150" t="s">
        <v>4</v>
      </c>
      <c r="D150" t="s">
        <v>57</v>
      </c>
      <c r="E150" t="s">
        <v>32</v>
      </c>
      <c r="F150" t="s">
        <v>96</v>
      </c>
      <c r="G150">
        <v>4</v>
      </c>
      <c r="H150">
        <v>59573</v>
      </c>
      <c r="I150" t="s">
        <v>60</v>
      </c>
      <c r="J150">
        <v>226377.4</v>
      </c>
      <c r="K150" t="s">
        <v>23</v>
      </c>
      <c r="L150" t="s">
        <v>19</v>
      </c>
    </row>
    <row r="151" spans="1:12" x14ac:dyDescent="0.25">
      <c r="A151" t="s">
        <v>226</v>
      </c>
      <c r="B151" s="1">
        <v>45513</v>
      </c>
      <c r="C151" t="s">
        <v>4</v>
      </c>
      <c r="D151" t="s">
        <v>93</v>
      </c>
      <c r="E151" t="s">
        <v>31</v>
      </c>
      <c r="F151" t="s">
        <v>65</v>
      </c>
      <c r="G151">
        <v>5</v>
      </c>
      <c r="H151">
        <v>29646</v>
      </c>
      <c r="I151" t="s">
        <v>60</v>
      </c>
      <c r="J151">
        <v>140818.5</v>
      </c>
      <c r="K151" t="s">
        <v>25</v>
      </c>
      <c r="L151" t="s">
        <v>18</v>
      </c>
    </row>
    <row r="152" spans="1:12" x14ac:dyDescent="0.25">
      <c r="A152" t="s">
        <v>227</v>
      </c>
      <c r="B152" s="1">
        <v>45541</v>
      </c>
      <c r="C152" t="s">
        <v>3</v>
      </c>
      <c r="D152" t="s">
        <v>69</v>
      </c>
      <c r="E152" t="s">
        <v>30</v>
      </c>
      <c r="F152" t="s">
        <v>63</v>
      </c>
      <c r="G152">
        <v>10</v>
      </c>
      <c r="H152">
        <v>101116</v>
      </c>
      <c r="I152" t="s">
        <v>52</v>
      </c>
      <c r="J152">
        <v>910044</v>
      </c>
      <c r="K152" t="s">
        <v>21</v>
      </c>
      <c r="L152" t="s">
        <v>18</v>
      </c>
    </row>
    <row r="153" spans="1:12" x14ac:dyDescent="0.25">
      <c r="A153" t="s">
        <v>228</v>
      </c>
      <c r="B153" s="1">
        <v>45391</v>
      </c>
      <c r="C153" t="s">
        <v>4</v>
      </c>
      <c r="D153" t="s">
        <v>57</v>
      </c>
      <c r="E153" t="s">
        <v>31</v>
      </c>
      <c r="F153" t="s">
        <v>80</v>
      </c>
      <c r="G153">
        <v>2</v>
      </c>
      <c r="H153">
        <v>129131</v>
      </c>
      <c r="I153" t="s">
        <v>52</v>
      </c>
      <c r="J153">
        <v>232435.8</v>
      </c>
      <c r="K153" t="s">
        <v>28</v>
      </c>
      <c r="L153" t="s">
        <v>18</v>
      </c>
    </row>
    <row r="154" spans="1:12" x14ac:dyDescent="0.25">
      <c r="A154" t="s">
        <v>229</v>
      </c>
      <c r="B154" s="1">
        <v>45514</v>
      </c>
      <c r="C154" t="s">
        <v>4</v>
      </c>
      <c r="D154" t="s">
        <v>50</v>
      </c>
      <c r="E154" t="s">
        <v>29</v>
      </c>
      <c r="F154" t="s">
        <v>89</v>
      </c>
      <c r="G154">
        <v>10</v>
      </c>
      <c r="H154">
        <v>26289</v>
      </c>
      <c r="I154" t="s">
        <v>48</v>
      </c>
      <c r="J154">
        <v>262890</v>
      </c>
      <c r="K154" t="s">
        <v>27</v>
      </c>
      <c r="L154" t="s">
        <v>19</v>
      </c>
    </row>
    <row r="155" spans="1:12" x14ac:dyDescent="0.25">
      <c r="A155" t="s">
        <v>230</v>
      </c>
      <c r="B155" s="1">
        <v>45438</v>
      </c>
      <c r="C155" t="s">
        <v>3</v>
      </c>
      <c r="D155" t="s">
        <v>67</v>
      </c>
      <c r="E155" t="s">
        <v>32</v>
      </c>
      <c r="F155" t="s">
        <v>109</v>
      </c>
      <c r="G155">
        <v>1</v>
      </c>
      <c r="H155">
        <v>44975</v>
      </c>
      <c r="I155" t="s">
        <v>60</v>
      </c>
      <c r="J155">
        <v>42726.25</v>
      </c>
      <c r="K155" t="s">
        <v>28</v>
      </c>
      <c r="L155" t="s">
        <v>18</v>
      </c>
    </row>
    <row r="156" spans="1:12" x14ac:dyDescent="0.25">
      <c r="A156" t="s">
        <v>231</v>
      </c>
      <c r="B156" s="1">
        <v>45616</v>
      </c>
      <c r="C156" t="s">
        <v>3</v>
      </c>
      <c r="D156" t="s">
        <v>59</v>
      </c>
      <c r="E156" t="s">
        <v>31</v>
      </c>
      <c r="F156" t="s">
        <v>65</v>
      </c>
      <c r="G156">
        <v>13</v>
      </c>
      <c r="H156">
        <v>138683</v>
      </c>
      <c r="I156" t="s">
        <v>48</v>
      </c>
      <c r="J156">
        <v>1802879</v>
      </c>
      <c r="K156" t="s">
        <v>25</v>
      </c>
      <c r="L156" t="s">
        <v>20</v>
      </c>
    </row>
    <row r="157" spans="1:12" x14ac:dyDescent="0.25">
      <c r="A157" t="s">
        <v>232</v>
      </c>
      <c r="B157" s="1">
        <v>45307</v>
      </c>
      <c r="C157" t="s">
        <v>2</v>
      </c>
      <c r="D157" t="s">
        <v>62</v>
      </c>
      <c r="E157" t="s">
        <v>31</v>
      </c>
      <c r="F157" t="s">
        <v>75</v>
      </c>
      <c r="G157">
        <v>24</v>
      </c>
      <c r="H157">
        <v>107182</v>
      </c>
      <c r="I157" t="s">
        <v>48</v>
      </c>
      <c r="J157">
        <v>2572368</v>
      </c>
      <c r="K157" t="s">
        <v>21</v>
      </c>
      <c r="L157" t="s">
        <v>18</v>
      </c>
    </row>
    <row r="158" spans="1:12" x14ac:dyDescent="0.25">
      <c r="A158" t="s">
        <v>233</v>
      </c>
      <c r="B158" s="1">
        <v>45549</v>
      </c>
      <c r="C158" t="s">
        <v>4</v>
      </c>
      <c r="D158" t="s">
        <v>50</v>
      </c>
      <c r="E158" t="s">
        <v>31</v>
      </c>
      <c r="F158" t="s">
        <v>65</v>
      </c>
      <c r="G158">
        <v>17</v>
      </c>
      <c r="H158">
        <v>52115</v>
      </c>
      <c r="I158" t="s">
        <v>52</v>
      </c>
      <c r="J158">
        <v>797359.5</v>
      </c>
      <c r="K158" t="s">
        <v>25</v>
      </c>
      <c r="L158" t="s">
        <v>20</v>
      </c>
    </row>
    <row r="159" spans="1:12" x14ac:dyDescent="0.25">
      <c r="A159" t="s">
        <v>234</v>
      </c>
      <c r="B159" s="1">
        <v>45451</v>
      </c>
      <c r="C159" t="s">
        <v>4</v>
      </c>
      <c r="D159" t="s">
        <v>93</v>
      </c>
      <c r="E159" t="s">
        <v>30</v>
      </c>
      <c r="F159" t="s">
        <v>124</v>
      </c>
      <c r="G159">
        <v>20</v>
      </c>
      <c r="H159">
        <v>14938</v>
      </c>
      <c r="I159" t="s">
        <v>52</v>
      </c>
      <c r="J159">
        <v>268884</v>
      </c>
      <c r="K159" t="s">
        <v>27</v>
      </c>
      <c r="L159" t="s">
        <v>18</v>
      </c>
    </row>
    <row r="160" spans="1:12" x14ac:dyDescent="0.25">
      <c r="A160" t="s">
        <v>235</v>
      </c>
      <c r="B160" s="1">
        <v>45324</v>
      </c>
      <c r="C160" t="s">
        <v>3</v>
      </c>
      <c r="D160" t="s">
        <v>59</v>
      </c>
      <c r="E160" t="s">
        <v>31</v>
      </c>
      <c r="F160" t="s">
        <v>80</v>
      </c>
      <c r="G160">
        <v>1</v>
      </c>
      <c r="H160">
        <v>104042</v>
      </c>
      <c r="I160" t="s">
        <v>48</v>
      </c>
      <c r="J160">
        <v>104042</v>
      </c>
      <c r="K160" t="s">
        <v>25</v>
      </c>
      <c r="L160" t="s">
        <v>20</v>
      </c>
    </row>
    <row r="161" spans="1:12" x14ac:dyDescent="0.25">
      <c r="A161" t="s">
        <v>236</v>
      </c>
      <c r="B161" s="1">
        <v>45392</v>
      </c>
      <c r="C161" t="s">
        <v>2</v>
      </c>
      <c r="D161" t="s">
        <v>62</v>
      </c>
      <c r="E161" t="s">
        <v>31</v>
      </c>
      <c r="F161" t="s">
        <v>65</v>
      </c>
      <c r="G161">
        <v>12</v>
      </c>
      <c r="H161">
        <v>41304</v>
      </c>
      <c r="I161" t="s">
        <v>52</v>
      </c>
      <c r="J161">
        <v>446083.2</v>
      </c>
      <c r="K161" t="s">
        <v>26</v>
      </c>
      <c r="L161" t="s">
        <v>20</v>
      </c>
    </row>
    <row r="162" spans="1:12" x14ac:dyDescent="0.25">
      <c r="A162" t="s">
        <v>237</v>
      </c>
      <c r="B162" s="1">
        <v>45459</v>
      </c>
      <c r="C162" t="s">
        <v>3</v>
      </c>
      <c r="D162" t="s">
        <v>67</v>
      </c>
      <c r="E162" t="s">
        <v>31</v>
      </c>
      <c r="F162" t="s">
        <v>98</v>
      </c>
      <c r="G162">
        <v>10</v>
      </c>
      <c r="H162">
        <v>85986</v>
      </c>
      <c r="I162" t="s">
        <v>52</v>
      </c>
      <c r="J162">
        <v>773874</v>
      </c>
      <c r="K162" t="s">
        <v>23</v>
      </c>
      <c r="L162" t="s">
        <v>18</v>
      </c>
    </row>
    <row r="163" spans="1:12" x14ac:dyDescent="0.25">
      <c r="A163" t="s">
        <v>238</v>
      </c>
      <c r="B163" s="1">
        <v>45335</v>
      </c>
      <c r="C163" t="s">
        <v>3</v>
      </c>
      <c r="D163" t="s">
        <v>67</v>
      </c>
      <c r="E163" t="s">
        <v>29</v>
      </c>
      <c r="F163" t="s">
        <v>89</v>
      </c>
      <c r="G163">
        <v>13</v>
      </c>
      <c r="H163">
        <v>41494</v>
      </c>
      <c r="I163" t="s">
        <v>60</v>
      </c>
      <c r="J163">
        <v>512450.9</v>
      </c>
      <c r="K163" t="s">
        <v>25</v>
      </c>
      <c r="L163" t="s">
        <v>19</v>
      </c>
    </row>
    <row r="164" spans="1:12" x14ac:dyDescent="0.25">
      <c r="A164" t="s">
        <v>239</v>
      </c>
      <c r="B164" s="1">
        <v>45593</v>
      </c>
      <c r="C164" t="s">
        <v>3</v>
      </c>
      <c r="D164" t="s">
        <v>69</v>
      </c>
      <c r="E164" t="s">
        <v>32</v>
      </c>
      <c r="F164" t="s">
        <v>87</v>
      </c>
      <c r="G164">
        <v>2</v>
      </c>
      <c r="H164">
        <v>100532</v>
      </c>
      <c r="I164" t="s">
        <v>48</v>
      </c>
      <c r="J164">
        <v>201064</v>
      </c>
      <c r="K164" t="s">
        <v>21</v>
      </c>
      <c r="L164" t="s">
        <v>19</v>
      </c>
    </row>
    <row r="165" spans="1:12" x14ac:dyDescent="0.25">
      <c r="A165" t="s">
        <v>240</v>
      </c>
      <c r="B165" s="1">
        <v>45533</v>
      </c>
      <c r="C165" t="s">
        <v>4</v>
      </c>
      <c r="D165" t="s">
        <v>57</v>
      </c>
      <c r="E165" t="s">
        <v>30</v>
      </c>
      <c r="F165" t="s">
        <v>85</v>
      </c>
      <c r="G165">
        <v>3</v>
      </c>
      <c r="H165">
        <v>30350</v>
      </c>
      <c r="I165" t="s">
        <v>60</v>
      </c>
      <c r="J165">
        <v>86497.5</v>
      </c>
      <c r="K165" t="s">
        <v>27</v>
      </c>
      <c r="L165" t="s">
        <v>19</v>
      </c>
    </row>
    <row r="166" spans="1:12" x14ac:dyDescent="0.25">
      <c r="A166" t="s">
        <v>241</v>
      </c>
      <c r="B166" s="1">
        <v>45628</v>
      </c>
      <c r="C166" t="s">
        <v>2</v>
      </c>
      <c r="D166" t="s">
        <v>54</v>
      </c>
      <c r="E166" t="s">
        <v>32</v>
      </c>
      <c r="F166" t="s">
        <v>96</v>
      </c>
      <c r="G166">
        <v>8</v>
      </c>
      <c r="H166">
        <v>91668</v>
      </c>
      <c r="I166" t="s">
        <v>52</v>
      </c>
      <c r="J166">
        <v>660009.6</v>
      </c>
      <c r="K166" t="s">
        <v>23</v>
      </c>
      <c r="L166" t="s">
        <v>18</v>
      </c>
    </row>
    <row r="167" spans="1:12" x14ac:dyDescent="0.25">
      <c r="A167" t="s">
        <v>242</v>
      </c>
      <c r="B167" s="1">
        <v>45381</v>
      </c>
      <c r="C167" t="s">
        <v>3</v>
      </c>
      <c r="D167" t="s">
        <v>59</v>
      </c>
      <c r="E167" t="s">
        <v>31</v>
      </c>
      <c r="F167" t="s">
        <v>75</v>
      </c>
      <c r="G167">
        <v>2</v>
      </c>
      <c r="H167">
        <v>60458</v>
      </c>
      <c r="I167" t="s">
        <v>52</v>
      </c>
      <c r="J167">
        <v>108824.4</v>
      </c>
      <c r="K167" t="s">
        <v>23</v>
      </c>
      <c r="L167" t="s">
        <v>20</v>
      </c>
    </row>
    <row r="168" spans="1:12" x14ac:dyDescent="0.25">
      <c r="A168" t="s">
        <v>243</v>
      </c>
      <c r="B168" s="1">
        <v>45396</v>
      </c>
      <c r="C168" t="s">
        <v>4</v>
      </c>
      <c r="D168" t="s">
        <v>93</v>
      </c>
      <c r="E168" t="s">
        <v>31</v>
      </c>
      <c r="F168" t="s">
        <v>80</v>
      </c>
      <c r="G168">
        <v>7</v>
      </c>
      <c r="H168">
        <v>6267</v>
      </c>
      <c r="I168" t="s">
        <v>48</v>
      </c>
      <c r="J168">
        <v>43869</v>
      </c>
      <c r="K168" t="s">
        <v>24</v>
      </c>
      <c r="L168" t="s">
        <v>19</v>
      </c>
    </row>
    <row r="169" spans="1:12" x14ac:dyDescent="0.25">
      <c r="A169" t="s">
        <v>244</v>
      </c>
      <c r="B169" s="1">
        <v>45605</v>
      </c>
      <c r="C169" t="s">
        <v>3</v>
      </c>
      <c r="D169" t="s">
        <v>59</v>
      </c>
      <c r="E169" t="s">
        <v>32</v>
      </c>
      <c r="F169" t="s">
        <v>96</v>
      </c>
      <c r="G169">
        <v>21</v>
      </c>
      <c r="H169">
        <v>41513</v>
      </c>
      <c r="I169" t="s">
        <v>60</v>
      </c>
      <c r="J169">
        <v>828184.35</v>
      </c>
      <c r="K169" t="s">
        <v>28</v>
      </c>
      <c r="L169" t="s">
        <v>20</v>
      </c>
    </row>
    <row r="170" spans="1:12" x14ac:dyDescent="0.25">
      <c r="A170" t="s">
        <v>245</v>
      </c>
      <c r="B170" s="1">
        <v>45366</v>
      </c>
      <c r="C170" t="s">
        <v>3</v>
      </c>
      <c r="D170" t="s">
        <v>69</v>
      </c>
      <c r="E170" t="s">
        <v>29</v>
      </c>
      <c r="F170" t="s">
        <v>72</v>
      </c>
      <c r="G170">
        <v>24</v>
      </c>
      <c r="H170">
        <v>108891</v>
      </c>
      <c r="I170" t="s">
        <v>52</v>
      </c>
      <c r="J170">
        <v>2352045.6</v>
      </c>
      <c r="K170" t="s">
        <v>23</v>
      </c>
      <c r="L170" t="s">
        <v>20</v>
      </c>
    </row>
    <row r="171" spans="1:12" x14ac:dyDescent="0.25">
      <c r="A171" t="s">
        <v>246</v>
      </c>
      <c r="B171" s="1">
        <v>45508</v>
      </c>
      <c r="C171" t="s">
        <v>4</v>
      </c>
      <c r="D171" t="s">
        <v>50</v>
      </c>
      <c r="E171" t="s">
        <v>29</v>
      </c>
      <c r="F171" t="s">
        <v>51</v>
      </c>
      <c r="G171">
        <v>21</v>
      </c>
      <c r="H171">
        <v>47425</v>
      </c>
      <c r="I171" t="s">
        <v>52</v>
      </c>
      <c r="J171">
        <v>896332.5</v>
      </c>
      <c r="K171" t="s">
        <v>27</v>
      </c>
      <c r="L171" t="s">
        <v>20</v>
      </c>
    </row>
    <row r="172" spans="1:12" x14ac:dyDescent="0.25">
      <c r="A172" t="s">
        <v>247</v>
      </c>
      <c r="B172" s="1">
        <v>45648</v>
      </c>
      <c r="C172" t="s">
        <v>2</v>
      </c>
      <c r="D172" t="s">
        <v>46</v>
      </c>
      <c r="E172" t="s">
        <v>31</v>
      </c>
      <c r="F172" t="s">
        <v>75</v>
      </c>
      <c r="G172">
        <v>9</v>
      </c>
      <c r="H172">
        <v>50295</v>
      </c>
      <c r="I172" t="s">
        <v>48</v>
      </c>
      <c r="J172">
        <v>452655</v>
      </c>
      <c r="K172" t="s">
        <v>25</v>
      </c>
      <c r="L172" t="s">
        <v>20</v>
      </c>
    </row>
    <row r="173" spans="1:12" x14ac:dyDescent="0.25">
      <c r="A173" t="s">
        <v>248</v>
      </c>
      <c r="B173" s="1">
        <v>45518</v>
      </c>
      <c r="C173" t="s">
        <v>3</v>
      </c>
      <c r="D173" t="s">
        <v>67</v>
      </c>
      <c r="E173" t="s">
        <v>30</v>
      </c>
      <c r="F173" t="s">
        <v>124</v>
      </c>
      <c r="G173">
        <v>17</v>
      </c>
      <c r="H173">
        <v>86042</v>
      </c>
      <c r="I173" t="s">
        <v>48</v>
      </c>
      <c r="J173">
        <v>1462714</v>
      </c>
      <c r="K173" t="s">
        <v>27</v>
      </c>
      <c r="L173" t="s">
        <v>20</v>
      </c>
    </row>
    <row r="174" spans="1:12" x14ac:dyDescent="0.25">
      <c r="A174" t="s">
        <v>249</v>
      </c>
      <c r="B174" s="1">
        <v>45327</v>
      </c>
      <c r="C174" t="s">
        <v>4</v>
      </c>
      <c r="D174" t="s">
        <v>93</v>
      </c>
      <c r="E174" t="s">
        <v>32</v>
      </c>
      <c r="F174" t="s">
        <v>87</v>
      </c>
      <c r="G174">
        <v>18</v>
      </c>
      <c r="H174">
        <v>73640</v>
      </c>
      <c r="I174" t="s">
        <v>52</v>
      </c>
      <c r="J174">
        <v>1192968</v>
      </c>
      <c r="K174" t="s">
        <v>28</v>
      </c>
      <c r="L174" t="s">
        <v>20</v>
      </c>
    </row>
    <row r="175" spans="1:12" x14ac:dyDescent="0.25">
      <c r="A175" t="s">
        <v>250</v>
      </c>
      <c r="B175" s="1">
        <v>45387</v>
      </c>
      <c r="C175" t="s">
        <v>4</v>
      </c>
      <c r="D175" t="s">
        <v>93</v>
      </c>
      <c r="E175" t="s">
        <v>32</v>
      </c>
      <c r="F175" t="s">
        <v>96</v>
      </c>
      <c r="G175">
        <v>24</v>
      </c>
      <c r="H175">
        <v>141429</v>
      </c>
      <c r="I175" t="s">
        <v>48</v>
      </c>
      <c r="J175">
        <v>3394296</v>
      </c>
      <c r="K175" t="s">
        <v>26</v>
      </c>
      <c r="L175" t="s">
        <v>20</v>
      </c>
    </row>
    <row r="176" spans="1:12" x14ac:dyDescent="0.25">
      <c r="A176" t="s">
        <v>251</v>
      </c>
      <c r="B176" s="1">
        <v>45515</v>
      </c>
      <c r="C176" t="s">
        <v>4</v>
      </c>
      <c r="D176" t="s">
        <v>50</v>
      </c>
      <c r="E176" t="s">
        <v>32</v>
      </c>
      <c r="F176" t="s">
        <v>87</v>
      </c>
      <c r="G176">
        <v>5</v>
      </c>
      <c r="H176">
        <v>47811</v>
      </c>
      <c r="I176" t="s">
        <v>48</v>
      </c>
      <c r="J176">
        <v>239055</v>
      </c>
      <c r="K176" t="s">
        <v>24</v>
      </c>
      <c r="L176" t="s">
        <v>19</v>
      </c>
    </row>
    <row r="177" spans="1:12" x14ac:dyDescent="0.25">
      <c r="A177" t="s">
        <v>252</v>
      </c>
      <c r="B177" s="1">
        <v>45474</v>
      </c>
      <c r="C177" t="s">
        <v>4</v>
      </c>
      <c r="D177" t="s">
        <v>93</v>
      </c>
      <c r="E177" t="s">
        <v>30</v>
      </c>
      <c r="F177" t="s">
        <v>91</v>
      </c>
      <c r="G177">
        <v>13</v>
      </c>
      <c r="H177">
        <v>115856</v>
      </c>
      <c r="I177" t="s">
        <v>60</v>
      </c>
      <c r="J177">
        <v>1430821.6</v>
      </c>
      <c r="K177" t="s">
        <v>23</v>
      </c>
      <c r="L177" t="s">
        <v>19</v>
      </c>
    </row>
    <row r="178" spans="1:12" x14ac:dyDescent="0.25">
      <c r="A178" t="s">
        <v>253</v>
      </c>
      <c r="B178" s="1">
        <v>45646</v>
      </c>
      <c r="C178" t="s">
        <v>2</v>
      </c>
      <c r="D178" t="s">
        <v>46</v>
      </c>
      <c r="E178" t="s">
        <v>30</v>
      </c>
      <c r="F178" t="s">
        <v>85</v>
      </c>
      <c r="G178">
        <v>9</v>
      </c>
      <c r="H178">
        <v>114888</v>
      </c>
      <c r="I178" t="s">
        <v>60</v>
      </c>
      <c r="J178">
        <v>982292.4</v>
      </c>
      <c r="K178" t="s">
        <v>26</v>
      </c>
      <c r="L178" t="s">
        <v>20</v>
      </c>
    </row>
    <row r="179" spans="1:12" x14ac:dyDescent="0.25">
      <c r="A179" t="s">
        <v>254</v>
      </c>
      <c r="B179" s="1">
        <v>45353</v>
      </c>
      <c r="C179" t="s">
        <v>3</v>
      </c>
      <c r="D179" t="s">
        <v>69</v>
      </c>
      <c r="E179" t="s">
        <v>32</v>
      </c>
      <c r="F179" t="s">
        <v>122</v>
      </c>
      <c r="G179">
        <v>20</v>
      </c>
      <c r="H179">
        <v>134800</v>
      </c>
      <c r="I179" t="s">
        <v>60</v>
      </c>
      <c r="J179">
        <v>2561200</v>
      </c>
      <c r="K179" t="s">
        <v>28</v>
      </c>
      <c r="L179" t="s">
        <v>18</v>
      </c>
    </row>
    <row r="180" spans="1:12" x14ac:dyDescent="0.25">
      <c r="A180" t="s">
        <v>255</v>
      </c>
      <c r="B180" s="1">
        <v>45633</v>
      </c>
      <c r="C180" t="s">
        <v>2</v>
      </c>
      <c r="D180" t="s">
        <v>46</v>
      </c>
      <c r="E180" t="s">
        <v>31</v>
      </c>
      <c r="F180" t="s">
        <v>98</v>
      </c>
      <c r="G180">
        <v>13</v>
      </c>
      <c r="H180">
        <v>69234</v>
      </c>
      <c r="I180" t="s">
        <v>52</v>
      </c>
      <c r="J180">
        <v>810037.8</v>
      </c>
      <c r="K180" t="s">
        <v>24</v>
      </c>
      <c r="L180" t="s">
        <v>18</v>
      </c>
    </row>
    <row r="181" spans="1:12" x14ac:dyDescent="0.25">
      <c r="A181" t="s">
        <v>256</v>
      </c>
      <c r="B181" s="1">
        <v>45310</v>
      </c>
      <c r="C181" t="s">
        <v>2</v>
      </c>
      <c r="D181" t="s">
        <v>62</v>
      </c>
      <c r="E181" t="s">
        <v>29</v>
      </c>
      <c r="F181" t="s">
        <v>89</v>
      </c>
      <c r="G181">
        <v>17</v>
      </c>
      <c r="H181">
        <v>82459</v>
      </c>
      <c r="I181" t="s">
        <v>48</v>
      </c>
      <c r="J181">
        <v>1401803</v>
      </c>
      <c r="K181" t="s">
        <v>23</v>
      </c>
      <c r="L181" t="s">
        <v>19</v>
      </c>
    </row>
    <row r="182" spans="1:12" x14ac:dyDescent="0.25">
      <c r="A182" t="s">
        <v>257</v>
      </c>
      <c r="B182" s="1">
        <v>45524</v>
      </c>
      <c r="C182" t="s">
        <v>2</v>
      </c>
      <c r="D182" t="s">
        <v>46</v>
      </c>
      <c r="E182" t="s">
        <v>32</v>
      </c>
      <c r="F182" t="s">
        <v>109</v>
      </c>
      <c r="G182">
        <v>19</v>
      </c>
      <c r="H182">
        <v>62163</v>
      </c>
      <c r="I182" t="s">
        <v>52</v>
      </c>
      <c r="J182">
        <v>1062987.3</v>
      </c>
      <c r="K182" t="s">
        <v>23</v>
      </c>
      <c r="L182" t="s">
        <v>18</v>
      </c>
    </row>
    <row r="183" spans="1:12" x14ac:dyDescent="0.25">
      <c r="A183" t="s">
        <v>258</v>
      </c>
      <c r="B183" s="1">
        <v>45497</v>
      </c>
      <c r="C183" t="s">
        <v>3</v>
      </c>
      <c r="D183" t="s">
        <v>67</v>
      </c>
      <c r="E183" t="s">
        <v>31</v>
      </c>
      <c r="F183" t="s">
        <v>106</v>
      </c>
      <c r="G183">
        <v>20</v>
      </c>
      <c r="H183">
        <v>57098</v>
      </c>
      <c r="I183" t="s">
        <v>60</v>
      </c>
      <c r="J183">
        <v>1084862</v>
      </c>
      <c r="K183" t="s">
        <v>24</v>
      </c>
      <c r="L183" t="s">
        <v>18</v>
      </c>
    </row>
    <row r="184" spans="1:12" x14ac:dyDescent="0.25">
      <c r="A184" t="s">
        <v>259</v>
      </c>
      <c r="B184" s="1">
        <v>45435</v>
      </c>
      <c r="C184" t="s">
        <v>3</v>
      </c>
      <c r="D184" t="s">
        <v>67</v>
      </c>
      <c r="E184" t="s">
        <v>30</v>
      </c>
      <c r="F184" t="s">
        <v>85</v>
      </c>
      <c r="G184">
        <v>21</v>
      </c>
      <c r="H184">
        <v>129020</v>
      </c>
      <c r="I184" t="s">
        <v>60</v>
      </c>
      <c r="J184">
        <v>2573949</v>
      </c>
      <c r="K184" t="s">
        <v>21</v>
      </c>
      <c r="L184" t="s">
        <v>18</v>
      </c>
    </row>
    <row r="185" spans="1:12" x14ac:dyDescent="0.25">
      <c r="A185" t="s">
        <v>260</v>
      </c>
      <c r="B185" s="1">
        <v>45390</v>
      </c>
      <c r="C185" t="s">
        <v>2</v>
      </c>
      <c r="D185" t="s">
        <v>46</v>
      </c>
      <c r="E185" t="s">
        <v>32</v>
      </c>
      <c r="F185" t="s">
        <v>70</v>
      </c>
      <c r="G185">
        <v>12</v>
      </c>
      <c r="H185">
        <v>145202</v>
      </c>
      <c r="I185" t="s">
        <v>52</v>
      </c>
      <c r="J185">
        <v>1568181.6</v>
      </c>
      <c r="K185" t="s">
        <v>24</v>
      </c>
      <c r="L185" t="s">
        <v>18</v>
      </c>
    </row>
    <row r="186" spans="1:12" x14ac:dyDescent="0.25">
      <c r="A186" t="s">
        <v>261</v>
      </c>
      <c r="B186" s="1">
        <v>45344</v>
      </c>
      <c r="C186" t="s">
        <v>2</v>
      </c>
      <c r="D186" t="s">
        <v>62</v>
      </c>
      <c r="E186" t="s">
        <v>29</v>
      </c>
      <c r="F186" t="s">
        <v>51</v>
      </c>
      <c r="G186">
        <v>23</v>
      </c>
      <c r="H186">
        <v>30192</v>
      </c>
      <c r="I186" t="s">
        <v>60</v>
      </c>
      <c r="J186">
        <v>659695.19999999995</v>
      </c>
      <c r="K186" t="s">
        <v>25</v>
      </c>
      <c r="L186" t="s">
        <v>18</v>
      </c>
    </row>
    <row r="187" spans="1:12" x14ac:dyDescent="0.25">
      <c r="A187" t="s">
        <v>262</v>
      </c>
      <c r="B187" s="1">
        <v>45330</v>
      </c>
      <c r="C187" t="s">
        <v>4</v>
      </c>
      <c r="D187" t="s">
        <v>50</v>
      </c>
      <c r="E187" t="s">
        <v>29</v>
      </c>
      <c r="F187" t="s">
        <v>51</v>
      </c>
      <c r="G187">
        <v>13</v>
      </c>
      <c r="H187">
        <v>92780</v>
      </c>
      <c r="I187" t="s">
        <v>60</v>
      </c>
      <c r="J187">
        <v>1145833</v>
      </c>
      <c r="K187" t="s">
        <v>24</v>
      </c>
      <c r="L187" t="s">
        <v>20</v>
      </c>
    </row>
    <row r="188" spans="1:12" x14ac:dyDescent="0.25">
      <c r="A188" t="s">
        <v>263</v>
      </c>
      <c r="B188" s="1">
        <v>45333</v>
      </c>
      <c r="C188" t="s">
        <v>3</v>
      </c>
      <c r="D188" t="s">
        <v>59</v>
      </c>
      <c r="E188" t="s">
        <v>31</v>
      </c>
      <c r="F188" t="s">
        <v>98</v>
      </c>
      <c r="G188">
        <v>7</v>
      </c>
      <c r="H188">
        <v>91461</v>
      </c>
      <c r="I188" t="s">
        <v>60</v>
      </c>
      <c r="J188">
        <v>608215.65</v>
      </c>
      <c r="K188" t="s">
        <v>23</v>
      </c>
      <c r="L188" t="s">
        <v>18</v>
      </c>
    </row>
    <row r="189" spans="1:12" x14ac:dyDescent="0.25">
      <c r="A189" t="s">
        <v>264</v>
      </c>
      <c r="B189" s="1">
        <v>45514</v>
      </c>
      <c r="C189" t="s">
        <v>4</v>
      </c>
      <c r="D189" t="s">
        <v>57</v>
      </c>
      <c r="E189" t="s">
        <v>29</v>
      </c>
      <c r="F189" t="s">
        <v>47</v>
      </c>
      <c r="G189">
        <v>5</v>
      </c>
      <c r="H189">
        <v>41102</v>
      </c>
      <c r="I189" t="s">
        <v>60</v>
      </c>
      <c r="J189">
        <v>195234.5</v>
      </c>
      <c r="K189" t="s">
        <v>23</v>
      </c>
      <c r="L189" t="s">
        <v>18</v>
      </c>
    </row>
    <row r="190" spans="1:12" x14ac:dyDescent="0.25">
      <c r="A190" t="s">
        <v>265</v>
      </c>
      <c r="B190" s="1">
        <v>45512</v>
      </c>
      <c r="C190" t="s">
        <v>2</v>
      </c>
      <c r="D190" t="s">
        <v>62</v>
      </c>
      <c r="E190" t="s">
        <v>30</v>
      </c>
      <c r="F190" t="s">
        <v>85</v>
      </c>
      <c r="G190">
        <v>11</v>
      </c>
      <c r="H190">
        <v>92930</v>
      </c>
      <c r="I190" t="s">
        <v>60</v>
      </c>
      <c r="J190">
        <v>971118.5</v>
      </c>
      <c r="K190" t="s">
        <v>21</v>
      </c>
      <c r="L190" t="s">
        <v>20</v>
      </c>
    </row>
    <row r="191" spans="1:12" x14ac:dyDescent="0.25">
      <c r="A191" t="s">
        <v>266</v>
      </c>
      <c r="B191" s="1">
        <v>45437</v>
      </c>
      <c r="C191" t="s">
        <v>2</v>
      </c>
      <c r="D191" t="s">
        <v>62</v>
      </c>
      <c r="E191" t="s">
        <v>32</v>
      </c>
      <c r="F191" t="s">
        <v>70</v>
      </c>
      <c r="G191">
        <v>15</v>
      </c>
      <c r="H191">
        <v>4542</v>
      </c>
      <c r="I191" t="s">
        <v>52</v>
      </c>
      <c r="J191">
        <v>61317</v>
      </c>
      <c r="K191" t="s">
        <v>26</v>
      </c>
      <c r="L191" t="s">
        <v>19</v>
      </c>
    </row>
    <row r="192" spans="1:12" x14ac:dyDescent="0.25">
      <c r="A192" t="s">
        <v>267</v>
      </c>
      <c r="B192" s="1">
        <v>45465</v>
      </c>
      <c r="C192" t="s">
        <v>2</v>
      </c>
      <c r="D192" t="s">
        <v>46</v>
      </c>
      <c r="E192" t="s">
        <v>32</v>
      </c>
      <c r="F192" t="s">
        <v>87</v>
      </c>
      <c r="G192">
        <v>13</v>
      </c>
      <c r="H192">
        <v>42081</v>
      </c>
      <c r="I192" t="s">
        <v>60</v>
      </c>
      <c r="J192">
        <v>519700.35</v>
      </c>
      <c r="K192" t="s">
        <v>21</v>
      </c>
      <c r="L192" t="s">
        <v>20</v>
      </c>
    </row>
    <row r="193" spans="1:12" x14ac:dyDescent="0.25">
      <c r="A193" t="s">
        <v>268</v>
      </c>
      <c r="B193" s="1">
        <v>45574</v>
      </c>
      <c r="C193" t="s">
        <v>4</v>
      </c>
      <c r="D193" t="s">
        <v>93</v>
      </c>
      <c r="E193" t="s">
        <v>31</v>
      </c>
      <c r="F193" t="s">
        <v>98</v>
      </c>
      <c r="G193">
        <v>2</v>
      </c>
      <c r="H193">
        <v>91092</v>
      </c>
      <c r="I193" t="s">
        <v>48</v>
      </c>
      <c r="J193">
        <v>182184</v>
      </c>
      <c r="K193" t="s">
        <v>21</v>
      </c>
      <c r="L193" t="s">
        <v>19</v>
      </c>
    </row>
    <row r="194" spans="1:12" x14ac:dyDescent="0.25">
      <c r="A194" t="s">
        <v>269</v>
      </c>
      <c r="B194" s="1">
        <v>45456</v>
      </c>
      <c r="C194" t="s">
        <v>2</v>
      </c>
      <c r="D194" t="s">
        <v>54</v>
      </c>
      <c r="E194" t="s">
        <v>32</v>
      </c>
      <c r="F194" t="s">
        <v>70</v>
      </c>
      <c r="G194">
        <v>6</v>
      </c>
      <c r="H194">
        <v>29962</v>
      </c>
      <c r="I194" t="s">
        <v>60</v>
      </c>
      <c r="J194">
        <v>170783.4</v>
      </c>
      <c r="K194" t="s">
        <v>22</v>
      </c>
      <c r="L194" t="s">
        <v>19</v>
      </c>
    </row>
    <row r="195" spans="1:12" x14ac:dyDescent="0.25">
      <c r="A195" t="s">
        <v>270</v>
      </c>
      <c r="B195" s="1">
        <v>45427</v>
      </c>
      <c r="C195" t="s">
        <v>3</v>
      </c>
      <c r="D195" t="s">
        <v>67</v>
      </c>
      <c r="E195" t="s">
        <v>32</v>
      </c>
      <c r="F195" t="s">
        <v>109</v>
      </c>
      <c r="G195">
        <v>16</v>
      </c>
      <c r="H195">
        <v>135396</v>
      </c>
      <c r="I195" t="s">
        <v>48</v>
      </c>
      <c r="J195">
        <v>2166336</v>
      </c>
      <c r="K195" t="s">
        <v>21</v>
      </c>
      <c r="L195" t="s">
        <v>18</v>
      </c>
    </row>
    <row r="196" spans="1:12" x14ac:dyDescent="0.25">
      <c r="A196" t="s">
        <v>271</v>
      </c>
      <c r="B196" s="1">
        <v>45423</v>
      </c>
      <c r="C196" t="s">
        <v>3</v>
      </c>
      <c r="D196" t="s">
        <v>59</v>
      </c>
      <c r="E196" t="s">
        <v>32</v>
      </c>
      <c r="F196" t="s">
        <v>96</v>
      </c>
      <c r="G196">
        <v>4</v>
      </c>
      <c r="H196">
        <v>22870</v>
      </c>
      <c r="I196" t="s">
        <v>48</v>
      </c>
      <c r="J196">
        <v>91480</v>
      </c>
      <c r="K196" t="s">
        <v>24</v>
      </c>
      <c r="L196" t="s">
        <v>20</v>
      </c>
    </row>
    <row r="197" spans="1:12" x14ac:dyDescent="0.25">
      <c r="A197" t="s">
        <v>272</v>
      </c>
      <c r="B197" s="1">
        <v>45566</v>
      </c>
      <c r="C197" t="s">
        <v>2</v>
      </c>
      <c r="D197" t="s">
        <v>46</v>
      </c>
      <c r="E197" t="s">
        <v>32</v>
      </c>
      <c r="F197" t="s">
        <v>96</v>
      </c>
      <c r="G197">
        <v>12</v>
      </c>
      <c r="H197">
        <v>29790</v>
      </c>
      <c r="I197" t="s">
        <v>48</v>
      </c>
      <c r="J197">
        <v>357480</v>
      </c>
      <c r="K197" t="s">
        <v>21</v>
      </c>
      <c r="L197" t="s">
        <v>18</v>
      </c>
    </row>
    <row r="198" spans="1:12" x14ac:dyDescent="0.25">
      <c r="A198" t="s">
        <v>273</v>
      </c>
      <c r="B198" s="1">
        <v>45382</v>
      </c>
      <c r="C198" t="s">
        <v>3</v>
      </c>
      <c r="D198" t="s">
        <v>69</v>
      </c>
      <c r="E198" t="s">
        <v>31</v>
      </c>
      <c r="F198" t="s">
        <v>80</v>
      </c>
      <c r="G198">
        <v>10</v>
      </c>
      <c r="H198">
        <v>18485</v>
      </c>
      <c r="I198" t="s">
        <v>60</v>
      </c>
      <c r="J198">
        <v>175607.5</v>
      </c>
      <c r="K198" t="s">
        <v>28</v>
      </c>
      <c r="L198" t="s">
        <v>19</v>
      </c>
    </row>
    <row r="199" spans="1:12" x14ac:dyDescent="0.25">
      <c r="A199" t="s">
        <v>274</v>
      </c>
      <c r="B199" s="1">
        <v>45464</v>
      </c>
      <c r="C199" t="s">
        <v>2</v>
      </c>
      <c r="D199" t="s">
        <v>62</v>
      </c>
      <c r="E199" t="s">
        <v>29</v>
      </c>
      <c r="F199" t="s">
        <v>47</v>
      </c>
      <c r="G199">
        <v>13</v>
      </c>
      <c r="H199">
        <v>143507</v>
      </c>
      <c r="I199" t="s">
        <v>52</v>
      </c>
      <c r="J199">
        <v>1679031.9</v>
      </c>
      <c r="K199" t="s">
        <v>25</v>
      </c>
      <c r="L199" t="s">
        <v>20</v>
      </c>
    </row>
    <row r="200" spans="1:12" x14ac:dyDescent="0.25">
      <c r="A200" t="s">
        <v>275</v>
      </c>
      <c r="B200" s="1">
        <v>45417</v>
      </c>
      <c r="C200" t="s">
        <v>4</v>
      </c>
      <c r="D200" t="s">
        <v>50</v>
      </c>
      <c r="E200" t="s">
        <v>30</v>
      </c>
      <c r="F200" t="s">
        <v>91</v>
      </c>
      <c r="G200">
        <v>20</v>
      </c>
      <c r="H200">
        <v>147188</v>
      </c>
      <c r="I200" t="s">
        <v>52</v>
      </c>
      <c r="J200">
        <v>2649384</v>
      </c>
      <c r="K200" t="s">
        <v>28</v>
      </c>
      <c r="L200" t="s">
        <v>18</v>
      </c>
    </row>
    <row r="201" spans="1:12" x14ac:dyDescent="0.25">
      <c r="A201" t="s">
        <v>276</v>
      </c>
      <c r="B201" s="1">
        <v>45652</v>
      </c>
      <c r="C201" t="s">
        <v>2</v>
      </c>
      <c r="D201" t="s">
        <v>62</v>
      </c>
      <c r="E201" t="s">
        <v>30</v>
      </c>
      <c r="F201" t="s">
        <v>63</v>
      </c>
      <c r="G201">
        <v>7</v>
      </c>
      <c r="H201">
        <v>55224</v>
      </c>
      <c r="I201" t="s">
        <v>60</v>
      </c>
      <c r="J201">
        <v>367239.6</v>
      </c>
      <c r="K201" t="s">
        <v>25</v>
      </c>
      <c r="L201" t="s">
        <v>18</v>
      </c>
    </row>
    <row r="202" spans="1:12" x14ac:dyDescent="0.25">
      <c r="A202" t="s">
        <v>277</v>
      </c>
      <c r="B202" s="1">
        <v>45639</v>
      </c>
      <c r="C202" t="s">
        <v>4</v>
      </c>
      <c r="D202" t="s">
        <v>93</v>
      </c>
      <c r="E202" t="s">
        <v>32</v>
      </c>
      <c r="F202" t="s">
        <v>109</v>
      </c>
      <c r="G202">
        <v>17</v>
      </c>
      <c r="H202">
        <v>26960</v>
      </c>
      <c r="I202" t="s">
        <v>52</v>
      </c>
      <c r="J202">
        <v>412488</v>
      </c>
      <c r="K202" t="s">
        <v>23</v>
      </c>
      <c r="L202" t="s">
        <v>19</v>
      </c>
    </row>
    <row r="203" spans="1:12" x14ac:dyDescent="0.25">
      <c r="A203" t="s">
        <v>278</v>
      </c>
      <c r="B203" s="1">
        <v>45603</v>
      </c>
      <c r="C203" t="s">
        <v>2</v>
      </c>
      <c r="D203" t="s">
        <v>62</v>
      </c>
      <c r="E203" t="s">
        <v>29</v>
      </c>
      <c r="F203" t="s">
        <v>89</v>
      </c>
      <c r="G203">
        <v>1</v>
      </c>
      <c r="H203">
        <v>106333</v>
      </c>
      <c r="I203" t="s">
        <v>48</v>
      </c>
      <c r="J203">
        <v>106333</v>
      </c>
      <c r="K203" t="s">
        <v>23</v>
      </c>
      <c r="L203" t="s">
        <v>18</v>
      </c>
    </row>
    <row r="204" spans="1:12" x14ac:dyDescent="0.25">
      <c r="A204" t="s">
        <v>279</v>
      </c>
      <c r="B204" s="1">
        <v>45408</v>
      </c>
      <c r="C204" t="s">
        <v>2</v>
      </c>
      <c r="D204" t="s">
        <v>46</v>
      </c>
      <c r="E204" t="s">
        <v>29</v>
      </c>
      <c r="F204" t="s">
        <v>55</v>
      </c>
      <c r="G204">
        <v>6</v>
      </c>
      <c r="H204">
        <v>39395</v>
      </c>
      <c r="I204" t="s">
        <v>60</v>
      </c>
      <c r="J204">
        <v>224551.5</v>
      </c>
      <c r="K204" t="s">
        <v>26</v>
      </c>
      <c r="L204" t="s">
        <v>20</v>
      </c>
    </row>
    <row r="205" spans="1:12" x14ac:dyDescent="0.25">
      <c r="A205" t="s">
        <v>280</v>
      </c>
      <c r="B205" s="1">
        <v>45464</v>
      </c>
      <c r="C205" t="s">
        <v>3</v>
      </c>
      <c r="D205" t="s">
        <v>67</v>
      </c>
      <c r="E205" t="s">
        <v>30</v>
      </c>
      <c r="F205" t="s">
        <v>63</v>
      </c>
      <c r="G205">
        <v>13</v>
      </c>
      <c r="H205">
        <v>37620</v>
      </c>
      <c r="I205" t="s">
        <v>60</v>
      </c>
      <c r="J205">
        <v>464607</v>
      </c>
      <c r="K205" t="s">
        <v>24</v>
      </c>
      <c r="L205" t="s">
        <v>18</v>
      </c>
    </row>
    <row r="206" spans="1:12" x14ac:dyDescent="0.25">
      <c r="A206" t="s">
        <v>281</v>
      </c>
      <c r="B206" s="1">
        <v>45594</v>
      </c>
      <c r="C206" t="s">
        <v>4</v>
      </c>
      <c r="D206" t="s">
        <v>50</v>
      </c>
      <c r="E206" t="s">
        <v>29</v>
      </c>
      <c r="F206" t="s">
        <v>51</v>
      </c>
      <c r="G206">
        <v>21</v>
      </c>
      <c r="H206">
        <v>23559</v>
      </c>
      <c r="I206" t="s">
        <v>60</v>
      </c>
      <c r="J206">
        <v>470002.05</v>
      </c>
      <c r="K206" t="s">
        <v>28</v>
      </c>
      <c r="L206" t="s">
        <v>20</v>
      </c>
    </row>
    <row r="207" spans="1:12" x14ac:dyDescent="0.25">
      <c r="A207" t="s">
        <v>282</v>
      </c>
      <c r="B207" s="1">
        <v>45504</v>
      </c>
      <c r="C207" t="s">
        <v>4</v>
      </c>
      <c r="D207" t="s">
        <v>93</v>
      </c>
      <c r="E207" t="s">
        <v>30</v>
      </c>
      <c r="F207" t="s">
        <v>85</v>
      </c>
      <c r="G207">
        <v>11</v>
      </c>
      <c r="H207">
        <v>24732</v>
      </c>
      <c r="I207" t="s">
        <v>52</v>
      </c>
      <c r="J207">
        <v>244846.8</v>
      </c>
      <c r="K207" t="s">
        <v>27</v>
      </c>
      <c r="L207" t="s">
        <v>20</v>
      </c>
    </row>
    <row r="208" spans="1:12" x14ac:dyDescent="0.25">
      <c r="A208" t="s">
        <v>283</v>
      </c>
      <c r="B208" s="1">
        <v>45455</v>
      </c>
      <c r="C208" t="s">
        <v>2</v>
      </c>
      <c r="D208" t="s">
        <v>46</v>
      </c>
      <c r="E208" t="s">
        <v>31</v>
      </c>
      <c r="F208" t="s">
        <v>106</v>
      </c>
      <c r="G208">
        <v>3</v>
      </c>
      <c r="H208">
        <v>16843</v>
      </c>
      <c r="I208" t="s">
        <v>52</v>
      </c>
      <c r="J208">
        <v>45476.1</v>
      </c>
      <c r="K208" t="s">
        <v>26</v>
      </c>
      <c r="L208" t="s">
        <v>18</v>
      </c>
    </row>
    <row r="209" spans="1:12" x14ac:dyDescent="0.25">
      <c r="A209" t="s">
        <v>284</v>
      </c>
      <c r="B209" s="1">
        <v>45338</v>
      </c>
      <c r="C209" t="s">
        <v>4</v>
      </c>
      <c r="D209" t="s">
        <v>50</v>
      </c>
      <c r="E209" t="s">
        <v>32</v>
      </c>
      <c r="F209" t="s">
        <v>87</v>
      </c>
      <c r="G209">
        <v>9</v>
      </c>
      <c r="H209">
        <v>55528</v>
      </c>
      <c r="I209" t="s">
        <v>52</v>
      </c>
      <c r="J209">
        <v>449776.8</v>
      </c>
      <c r="K209" t="s">
        <v>22</v>
      </c>
      <c r="L209" t="s">
        <v>18</v>
      </c>
    </row>
    <row r="210" spans="1:12" x14ac:dyDescent="0.25">
      <c r="A210" t="s">
        <v>285</v>
      </c>
      <c r="B210" s="1">
        <v>45305</v>
      </c>
      <c r="C210" t="s">
        <v>2</v>
      </c>
      <c r="D210" t="s">
        <v>54</v>
      </c>
      <c r="E210" t="s">
        <v>29</v>
      </c>
      <c r="F210" t="s">
        <v>89</v>
      </c>
      <c r="G210">
        <v>15</v>
      </c>
      <c r="H210">
        <v>55638</v>
      </c>
      <c r="I210" t="s">
        <v>48</v>
      </c>
      <c r="J210">
        <v>834570</v>
      </c>
      <c r="K210" t="s">
        <v>21</v>
      </c>
      <c r="L210" t="s">
        <v>20</v>
      </c>
    </row>
    <row r="211" spans="1:12" x14ac:dyDescent="0.25">
      <c r="A211" t="s">
        <v>286</v>
      </c>
      <c r="B211" s="1">
        <v>45292</v>
      </c>
      <c r="C211" t="s">
        <v>4</v>
      </c>
      <c r="D211" t="s">
        <v>57</v>
      </c>
      <c r="E211" t="s">
        <v>32</v>
      </c>
      <c r="F211" t="s">
        <v>96</v>
      </c>
      <c r="G211">
        <v>21</v>
      </c>
      <c r="H211">
        <v>113133</v>
      </c>
      <c r="I211" t="s">
        <v>48</v>
      </c>
      <c r="J211">
        <v>2375793</v>
      </c>
      <c r="K211" t="s">
        <v>22</v>
      </c>
      <c r="L211" t="s">
        <v>20</v>
      </c>
    </row>
    <row r="212" spans="1:12" x14ac:dyDescent="0.25">
      <c r="A212" t="s">
        <v>287</v>
      </c>
      <c r="B212" s="1">
        <v>45550</v>
      </c>
      <c r="C212" t="s">
        <v>2</v>
      </c>
      <c r="D212" t="s">
        <v>54</v>
      </c>
      <c r="E212" t="s">
        <v>30</v>
      </c>
      <c r="F212" t="s">
        <v>85</v>
      </c>
      <c r="G212">
        <v>16</v>
      </c>
      <c r="H212">
        <v>141186</v>
      </c>
      <c r="I212" t="s">
        <v>60</v>
      </c>
      <c r="J212">
        <v>2146027.2000000002</v>
      </c>
      <c r="K212" t="s">
        <v>27</v>
      </c>
      <c r="L212" t="s">
        <v>18</v>
      </c>
    </row>
    <row r="213" spans="1:12" x14ac:dyDescent="0.25">
      <c r="A213" t="s">
        <v>288</v>
      </c>
      <c r="B213" s="1">
        <v>45303</v>
      </c>
      <c r="C213" t="s">
        <v>3</v>
      </c>
      <c r="D213" t="s">
        <v>67</v>
      </c>
      <c r="E213" t="s">
        <v>32</v>
      </c>
      <c r="F213" t="s">
        <v>122</v>
      </c>
      <c r="G213">
        <v>10</v>
      </c>
      <c r="H213">
        <v>145047</v>
      </c>
      <c r="I213" t="s">
        <v>52</v>
      </c>
      <c r="J213">
        <v>1305423</v>
      </c>
      <c r="K213" t="s">
        <v>26</v>
      </c>
      <c r="L213" t="s">
        <v>20</v>
      </c>
    </row>
    <row r="214" spans="1:12" x14ac:dyDescent="0.25">
      <c r="A214" t="s">
        <v>289</v>
      </c>
      <c r="B214" s="1">
        <v>45563</v>
      </c>
      <c r="C214" t="s">
        <v>3</v>
      </c>
      <c r="D214" t="s">
        <v>67</v>
      </c>
      <c r="E214" t="s">
        <v>30</v>
      </c>
      <c r="F214" t="s">
        <v>63</v>
      </c>
      <c r="G214">
        <v>8</v>
      </c>
      <c r="H214">
        <v>128899</v>
      </c>
      <c r="I214" t="s">
        <v>48</v>
      </c>
      <c r="J214">
        <v>1031192</v>
      </c>
      <c r="K214" t="s">
        <v>21</v>
      </c>
      <c r="L214" t="s">
        <v>19</v>
      </c>
    </row>
    <row r="215" spans="1:12" x14ac:dyDescent="0.25">
      <c r="A215" t="s">
        <v>290</v>
      </c>
      <c r="B215" s="1">
        <v>45447</v>
      </c>
      <c r="C215" t="s">
        <v>4</v>
      </c>
      <c r="D215" t="s">
        <v>57</v>
      </c>
      <c r="E215" t="s">
        <v>29</v>
      </c>
      <c r="F215" t="s">
        <v>47</v>
      </c>
      <c r="G215">
        <v>21</v>
      </c>
      <c r="H215">
        <v>12337</v>
      </c>
      <c r="I215" t="s">
        <v>48</v>
      </c>
      <c r="J215">
        <v>259077</v>
      </c>
      <c r="K215" t="s">
        <v>24</v>
      </c>
      <c r="L215" t="s">
        <v>19</v>
      </c>
    </row>
    <row r="216" spans="1:12" x14ac:dyDescent="0.25">
      <c r="A216" t="s">
        <v>291</v>
      </c>
      <c r="B216" s="1">
        <v>45639</v>
      </c>
      <c r="C216" t="s">
        <v>2</v>
      </c>
      <c r="D216" t="s">
        <v>54</v>
      </c>
      <c r="E216" t="s">
        <v>30</v>
      </c>
      <c r="F216" t="s">
        <v>112</v>
      </c>
      <c r="G216">
        <v>4</v>
      </c>
      <c r="H216">
        <v>64529</v>
      </c>
      <c r="I216" t="s">
        <v>60</v>
      </c>
      <c r="J216">
        <v>245210.2</v>
      </c>
      <c r="K216" t="s">
        <v>25</v>
      </c>
      <c r="L216" t="s">
        <v>19</v>
      </c>
    </row>
    <row r="217" spans="1:12" x14ac:dyDescent="0.25">
      <c r="A217" t="s">
        <v>292</v>
      </c>
      <c r="B217" s="1">
        <v>45427</v>
      </c>
      <c r="C217" t="s">
        <v>3</v>
      </c>
      <c r="D217" t="s">
        <v>69</v>
      </c>
      <c r="E217" t="s">
        <v>29</v>
      </c>
      <c r="F217" t="s">
        <v>72</v>
      </c>
      <c r="G217">
        <v>18</v>
      </c>
      <c r="H217">
        <v>36307</v>
      </c>
      <c r="I217" t="s">
        <v>52</v>
      </c>
      <c r="J217">
        <v>588173.4</v>
      </c>
      <c r="K217" t="s">
        <v>22</v>
      </c>
      <c r="L217" t="s">
        <v>18</v>
      </c>
    </row>
    <row r="218" spans="1:12" x14ac:dyDescent="0.25">
      <c r="A218" t="s">
        <v>293</v>
      </c>
      <c r="B218" s="1">
        <v>45511</v>
      </c>
      <c r="C218" t="s">
        <v>4</v>
      </c>
      <c r="D218" t="s">
        <v>93</v>
      </c>
      <c r="E218" t="s">
        <v>31</v>
      </c>
      <c r="F218" t="s">
        <v>80</v>
      </c>
      <c r="G218">
        <v>5</v>
      </c>
      <c r="H218">
        <v>130016</v>
      </c>
      <c r="I218" t="s">
        <v>60</v>
      </c>
      <c r="J218">
        <v>617576</v>
      </c>
      <c r="K218" t="s">
        <v>24</v>
      </c>
      <c r="L218" t="s">
        <v>19</v>
      </c>
    </row>
    <row r="219" spans="1:12" x14ac:dyDescent="0.25">
      <c r="A219" t="s">
        <v>294</v>
      </c>
      <c r="B219" s="1">
        <v>45519</v>
      </c>
      <c r="C219" t="s">
        <v>2</v>
      </c>
      <c r="D219" t="s">
        <v>62</v>
      </c>
      <c r="E219" t="s">
        <v>30</v>
      </c>
      <c r="F219" t="s">
        <v>91</v>
      </c>
      <c r="G219">
        <v>22</v>
      </c>
      <c r="H219">
        <v>124790</v>
      </c>
      <c r="I219" t="s">
        <v>52</v>
      </c>
      <c r="J219">
        <v>2470842</v>
      </c>
      <c r="K219" t="s">
        <v>25</v>
      </c>
      <c r="L219" t="s">
        <v>19</v>
      </c>
    </row>
    <row r="220" spans="1:12" x14ac:dyDescent="0.25">
      <c r="A220" t="s">
        <v>295</v>
      </c>
      <c r="B220" s="1">
        <v>45436</v>
      </c>
      <c r="C220" t="s">
        <v>4</v>
      </c>
      <c r="D220" t="s">
        <v>50</v>
      </c>
      <c r="E220" t="s">
        <v>32</v>
      </c>
      <c r="F220" t="s">
        <v>87</v>
      </c>
      <c r="G220">
        <v>9</v>
      </c>
      <c r="H220">
        <v>81752</v>
      </c>
      <c r="I220" t="s">
        <v>48</v>
      </c>
      <c r="J220">
        <v>735768</v>
      </c>
      <c r="K220" t="s">
        <v>25</v>
      </c>
      <c r="L220" t="s">
        <v>19</v>
      </c>
    </row>
    <row r="221" spans="1:12" x14ac:dyDescent="0.25">
      <c r="A221" t="s">
        <v>296</v>
      </c>
      <c r="B221" s="1">
        <v>45503</v>
      </c>
      <c r="C221" t="s">
        <v>2</v>
      </c>
      <c r="D221" t="s">
        <v>54</v>
      </c>
      <c r="E221" t="s">
        <v>32</v>
      </c>
      <c r="F221" t="s">
        <v>122</v>
      </c>
      <c r="G221">
        <v>13</v>
      </c>
      <c r="H221">
        <v>100007</v>
      </c>
      <c r="I221" t="s">
        <v>48</v>
      </c>
      <c r="J221">
        <v>1300091</v>
      </c>
      <c r="K221" t="s">
        <v>23</v>
      </c>
      <c r="L221" t="s">
        <v>20</v>
      </c>
    </row>
    <row r="222" spans="1:12" x14ac:dyDescent="0.25">
      <c r="A222" t="s">
        <v>297</v>
      </c>
      <c r="B222" s="1">
        <v>45337</v>
      </c>
      <c r="C222" t="s">
        <v>3</v>
      </c>
      <c r="D222" t="s">
        <v>67</v>
      </c>
      <c r="E222" t="s">
        <v>30</v>
      </c>
      <c r="F222" t="s">
        <v>124</v>
      </c>
      <c r="G222">
        <v>3</v>
      </c>
      <c r="H222">
        <v>121012</v>
      </c>
      <c r="I222" t="s">
        <v>52</v>
      </c>
      <c r="J222">
        <v>326732.40000000002</v>
      </c>
      <c r="K222" t="s">
        <v>21</v>
      </c>
      <c r="L222" t="s">
        <v>18</v>
      </c>
    </row>
    <row r="223" spans="1:12" x14ac:dyDescent="0.25">
      <c r="A223" t="s">
        <v>298</v>
      </c>
      <c r="B223" s="1">
        <v>45373</v>
      </c>
      <c r="C223" t="s">
        <v>2</v>
      </c>
      <c r="D223" t="s">
        <v>54</v>
      </c>
      <c r="E223" t="s">
        <v>31</v>
      </c>
      <c r="F223" t="s">
        <v>65</v>
      </c>
      <c r="G223">
        <v>19</v>
      </c>
      <c r="H223">
        <v>52407</v>
      </c>
      <c r="I223" t="s">
        <v>48</v>
      </c>
      <c r="J223">
        <v>995733</v>
      </c>
      <c r="K223" t="s">
        <v>24</v>
      </c>
      <c r="L223" t="s">
        <v>18</v>
      </c>
    </row>
    <row r="224" spans="1:12" x14ac:dyDescent="0.25">
      <c r="A224" t="s">
        <v>299</v>
      </c>
      <c r="B224" s="1">
        <v>45488</v>
      </c>
      <c r="C224" t="s">
        <v>2</v>
      </c>
      <c r="D224" t="s">
        <v>54</v>
      </c>
      <c r="E224" t="s">
        <v>30</v>
      </c>
      <c r="F224" t="s">
        <v>112</v>
      </c>
      <c r="G224">
        <v>15</v>
      </c>
      <c r="H224">
        <v>132473</v>
      </c>
      <c r="I224" t="s">
        <v>48</v>
      </c>
      <c r="J224">
        <v>1987095</v>
      </c>
      <c r="K224" t="s">
        <v>28</v>
      </c>
      <c r="L224" t="s">
        <v>18</v>
      </c>
    </row>
    <row r="225" spans="1:12" x14ac:dyDescent="0.25">
      <c r="A225" t="s">
        <v>300</v>
      </c>
      <c r="B225" s="1">
        <v>45301</v>
      </c>
      <c r="C225" t="s">
        <v>2</v>
      </c>
      <c r="D225" t="s">
        <v>46</v>
      </c>
      <c r="E225" t="s">
        <v>29</v>
      </c>
      <c r="F225" t="s">
        <v>89</v>
      </c>
      <c r="G225">
        <v>24</v>
      </c>
      <c r="H225">
        <v>61141</v>
      </c>
      <c r="I225" t="s">
        <v>60</v>
      </c>
      <c r="J225">
        <v>1394014.8</v>
      </c>
      <c r="K225" t="s">
        <v>22</v>
      </c>
      <c r="L225" t="s">
        <v>19</v>
      </c>
    </row>
    <row r="226" spans="1:12" x14ac:dyDescent="0.25">
      <c r="A226" t="s">
        <v>301</v>
      </c>
      <c r="B226" s="1">
        <v>45533</v>
      </c>
      <c r="C226" t="s">
        <v>4</v>
      </c>
      <c r="D226" t="s">
        <v>93</v>
      </c>
      <c r="E226" t="s">
        <v>30</v>
      </c>
      <c r="F226" t="s">
        <v>85</v>
      </c>
      <c r="G226">
        <v>13</v>
      </c>
      <c r="H226">
        <v>4015</v>
      </c>
      <c r="I226" t="s">
        <v>60</v>
      </c>
      <c r="J226">
        <v>49585.25</v>
      </c>
      <c r="K226" t="s">
        <v>27</v>
      </c>
      <c r="L226" t="s">
        <v>20</v>
      </c>
    </row>
    <row r="227" spans="1:12" x14ac:dyDescent="0.25">
      <c r="A227" t="s">
        <v>302</v>
      </c>
      <c r="B227" s="1">
        <v>45580</v>
      </c>
      <c r="C227" t="s">
        <v>2</v>
      </c>
      <c r="D227" t="s">
        <v>46</v>
      </c>
      <c r="E227" t="s">
        <v>32</v>
      </c>
      <c r="F227" t="s">
        <v>70</v>
      </c>
      <c r="G227">
        <v>22</v>
      </c>
      <c r="H227">
        <v>30712</v>
      </c>
      <c r="I227" t="s">
        <v>48</v>
      </c>
      <c r="J227">
        <v>675664</v>
      </c>
      <c r="K227" t="s">
        <v>27</v>
      </c>
      <c r="L227" t="s">
        <v>20</v>
      </c>
    </row>
    <row r="228" spans="1:12" x14ac:dyDescent="0.25">
      <c r="A228" t="s">
        <v>303</v>
      </c>
      <c r="B228" s="1">
        <v>45437</v>
      </c>
      <c r="C228" t="s">
        <v>2</v>
      </c>
      <c r="D228" t="s">
        <v>46</v>
      </c>
      <c r="E228" t="s">
        <v>29</v>
      </c>
      <c r="F228" t="s">
        <v>51</v>
      </c>
      <c r="G228">
        <v>15</v>
      </c>
      <c r="H228">
        <v>115816</v>
      </c>
      <c r="I228" t="s">
        <v>60</v>
      </c>
      <c r="J228">
        <v>1650378</v>
      </c>
      <c r="K228" t="s">
        <v>26</v>
      </c>
      <c r="L228" t="s">
        <v>19</v>
      </c>
    </row>
    <row r="229" spans="1:12" x14ac:dyDescent="0.25">
      <c r="A229" t="s">
        <v>304</v>
      </c>
      <c r="B229" s="1">
        <v>45558</v>
      </c>
      <c r="C229" t="s">
        <v>3</v>
      </c>
      <c r="D229" t="s">
        <v>67</v>
      </c>
      <c r="E229" t="s">
        <v>29</v>
      </c>
      <c r="F229" t="s">
        <v>47</v>
      </c>
      <c r="G229">
        <v>21</v>
      </c>
      <c r="H229">
        <v>26833</v>
      </c>
      <c r="I229" t="s">
        <v>52</v>
      </c>
      <c r="J229">
        <v>507143.7</v>
      </c>
      <c r="K229" t="s">
        <v>24</v>
      </c>
      <c r="L229" t="s">
        <v>19</v>
      </c>
    </row>
    <row r="230" spans="1:12" x14ac:dyDescent="0.25">
      <c r="A230" t="s">
        <v>305</v>
      </c>
      <c r="B230" s="1">
        <v>45354</v>
      </c>
      <c r="C230" t="s">
        <v>2</v>
      </c>
      <c r="D230" t="s">
        <v>62</v>
      </c>
      <c r="E230" t="s">
        <v>29</v>
      </c>
      <c r="F230" t="s">
        <v>89</v>
      </c>
      <c r="G230">
        <v>22</v>
      </c>
      <c r="H230">
        <v>9970</v>
      </c>
      <c r="I230" t="s">
        <v>52</v>
      </c>
      <c r="J230">
        <v>197406</v>
      </c>
      <c r="K230" t="s">
        <v>27</v>
      </c>
      <c r="L230" t="s">
        <v>18</v>
      </c>
    </row>
    <row r="231" spans="1:12" x14ac:dyDescent="0.25">
      <c r="A231" t="s">
        <v>306</v>
      </c>
      <c r="B231" s="1">
        <v>45574</v>
      </c>
      <c r="C231" t="s">
        <v>4</v>
      </c>
      <c r="D231" t="s">
        <v>57</v>
      </c>
      <c r="E231" t="s">
        <v>30</v>
      </c>
      <c r="F231" t="s">
        <v>112</v>
      </c>
      <c r="G231">
        <v>17</v>
      </c>
      <c r="H231">
        <v>49540</v>
      </c>
      <c r="I231" t="s">
        <v>60</v>
      </c>
      <c r="J231">
        <v>800071</v>
      </c>
      <c r="K231" t="s">
        <v>22</v>
      </c>
      <c r="L231" t="s">
        <v>19</v>
      </c>
    </row>
    <row r="232" spans="1:12" x14ac:dyDescent="0.25">
      <c r="A232" t="s">
        <v>307</v>
      </c>
      <c r="B232" s="1">
        <v>45389</v>
      </c>
      <c r="C232" t="s">
        <v>2</v>
      </c>
      <c r="D232" t="s">
        <v>54</v>
      </c>
      <c r="E232" t="s">
        <v>31</v>
      </c>
      <c r="F232" t="s">
        <v>75</v>
      </c>
      <c r="G232">
        <v>9</v>
      </c>
      <c r="H232">
        <v>108570</v>
      </c>
      <c r="I232" t="s">
        <v>52</v>
      </c>
      <c r="J232">
        <v>879417</v>
      </c>
      <c r="K232" t="s">
        <v>21</v>
      </c>
      <c r="L232" t="s">
        <v>20</v>
      </c>
    </row>
    <row r="233" spans="1:12" x14ac:dyDescent="0.25">
      <c r="A233" t="s">
        <v>308</v>
      </c>
      <c r="B233" s="1">
        <v>45602</v>
      </c>
      <c r="C233" t="s">
        <v>3</v>
      </c>
      <c r="D233" t="s">
        <v>59</v>
      </c>
      <c r="E233" t="s">
        <v>30</v>
      </c>
      <c r="F233" t="s">
        <v>85</v>
      </c>
      <c r="G233">
        <v>6</v>
      </c>
      <c r="H233">
        <v>15763</v>
      </c>
      <c r="I233" t="s">
        <v>60</v>
      </c>
      <c r="J233">
        <v>89849.1</v>
      </c>
      <c r="K233" t="s">
        <v>22</v>
      </c>
      <c r="L233" t="s">
        <v>19</v>
      </c>
    </row>
    <row r="234" spans="1:12" x14ac:dyDescent="0.25">
      <c r="A234" t="s">
        <v>309</v>
      </c>
      <c r="B234" s="1">
        <v>45488</v>
      </c>
      <c r="C234" t="s">
        <v>3</v>
      </c>
      <c r="D234" t="s">
        <v>59</v>
      </c>
      <c r="E234" t="s">
        <v>31</v>
      </c>
      <c r="F234" t="s">
        <v>65</v>
      </c>
      <c r="G234">
        <v>5</v>
      </c>
      <c r="H234">
        <v>83642</v>
      </c>
      <c r="I234" t="s">
        <v>48</v>
      </c>
      <c r="J234">
        <v>418210</v>
      </c>
      <c r="K234" t="s">
        <v>21</v>
      </c>
      <c r="L234" t="s">
        <v>18</v>
      </c>
    </row>
    <row r="235" spans="1:12" x14ac:dyDescent="0.25">
      <c r="A235" t="s">
        <v>310</v>
      </c>
      <c r="B235" s="1">
        <v>45314</v>
      </c>
      <c r="C235" t="s">
        <v>2</v>
      </c>
      <c r="D235" t="s">
        <v>54</v>
      </c>
      <c r="E235" t="s">
        <v>32</v>
      </c>
      <c r="F235" t="s">
        <v>70</v>
      </c>
      <c r="G235">
        <v>5</v>
      </c>
      <c r="H235">
        <v>13916</v>
      </c>
      <c r="I235" t="s">
        <v>52</v>
      </c>
      <c r="J235">
        <v>62622</v>
      </c>
      <c r="K235" t="s">
        <v>28</v>
      </c>
      <c r="L235" t="s">
        <v>18</v>
      </c>
    </row>
    <row r="236" spans="1:12" x14ac:dyDescent="0.25">
      <c r="A236" t="s">
        <v>311</v>
      </c>
      <c r="B236" s="1">
        <v>45493</v>
      </c>
      <c r="C236" t="s">
        <v>2</v>
      </c>
      <c r="D236" t="s">
        <v>62</v>
      </c>
      <c r="E236" t="s">
        <v>30</v>
      </c>
      <c r="F236" t="s">
        <v>124</v>
      </c>
      <c r="G236">
        <v>10</v>
      </c>
      <c r="H236">
        <v>147528</v>
      </c>
      <c r="I236" t="s">
        <v>60</v>
      </c>
      <c r="J236">
        <v>1401516</v>
      </c>
      <c r="K236" t="s">
        <v>22</v>
      </c>
      <c r="L236" t="s">
        <v>18</v>
      </c>
    </row>
    <row r="237" spans="1:12" x14ac:dyDescent="0.25">
      <c r="A237" t="s">
        <v>312</v>
      </c>
      <c r="B237" s="1">
        <v>45376</v>
      </c>
      <c r="C237" t="s">
        <v>2</v>
      </c>
      <c r="D237" t="s">
        <v>62</v>
      </c>
      <c r="E237" t="s">
        <v>30</v>
      </c>
      <c r="F237" t="s">
        <v>91</v>
      </c>
      <c r="G237">
        <v>14</v>
      </c>
      <c r="H237">
        <v>124288</v>
      </c>
      <c r="I237" t="s">
        <v>60</v>
      </c>
      <c r="J237">
        <v>1653030.4</v>
      </c>
      <c r="K237" t="s">
        <v>27</v>
      </c>
      <c r="L237" t="s">
        <v>18</v>
      </c>
    </row>
    <row r="238" spans="1:12" x14ac:dyDescent="0.25">
      <c r="A238" t="s">
        <v>313</v>
      </c>
      <c r="B238" s="1">
        <v>45292</v>
      </c>
      <c r="C238" t="s">
        <v>3</v>
      </c>
      <c r="D238" t="s">
        <v>69</v>
      </c>
      <c r="E238" t="s">
        <v>30</v>
      </c>
      <c r="F238" t="s">
        <v>85</v>
      </c>
      <c r="G238">
        <v>19</v>
      </c>
      <c r="H238">
        <v>56932</v>
      </c>
      <c r="I238" t="s">
        <v>48</v>
      </c>
      <c r="J238">
        <v>1081708</v>
      </c>
      <c r="K238" t="s">
        <v>25</v>
      </c>
      <c r="L238" t="s">
        <v>19</v>
      </c>
    </row>
    <row r="239" spans="1:12" x14ac:dyDescent="0.25">
      <c r="A239" t="s">
        <v>314</v>
      </c>
      <c r="B239" s="1">
        <v>45496</v>
      </c>
      <c r="C239" t="s">
        <v>3</v>
      </c>
      <c r="D239" t="s">
        <v>67</v>
      </c>
      <c r="E239" t="s">
        <v>29</v>
      </c>
      <c r="F239" t="s">
        <v>72</v>
      </c>
      <c r="G239">
        <v>4</v>
      </c>
      <c r="H239">
        <v>24949</v>
      </c>
      <c r="I239" t="s">
        <v>48</v>
      </c>
      <c r="J239">
        <v>99796</v>
      </c>
      <c r="K239" t="s">
        <v>26</v>
      </c>
      <c r="L239" t="s">
        <v>19</v>
      </c>
    </row>
    <row r="240" spans="1:12" x14ac:dyDescent="0.25">
      <c r="A240" t="s">
        <v>315</v>
      </c>
      <c r="B240" s="1">
        <v>45579</v>
      </c>
      <c r="C240" t="s">
        <v>2</v>
      </c>
      <c r="D240" t="s">
        <v>46</v>
      </c>
      <c r="E240" t="s">
        <v>32</v>
      </c>
      <c r="F240" t="s">
        <v>87</v>
      </c>
      <c r="G240">
        <v>2</v>
      </c>
      <c r="H240">
        <v>39187</v>
      </c>
      <c r="I240" t="s">
        <v>60</v>
      </c>
      <c r="J240">
        <v>74455.3</v>
      </c>
      <c r="K240" t="s">
        <v>28</v>
      </c>
      <c r="L240" t="s">
        <v>20</v>
      </c>
    </row>
    <row r="241" spans="1:12" x14ac:dyDescent="0.25">
      <c r="A241" t="s">
        <v>316</v>
      </c>
      <c r="B241" s="1">
        <v>45386</v>
      </c>
      <c r="C241" t="s">
        <v>3</v>
      </c>
      <c r="D241" t="s">
        <v>69</v>
      </c>
      <c r="E241" t="s">
        <v>30</v>
      </c>
      <c r="F241" t="s">
        <v>85</v>
      </c>
      <c r="G241">
        <v>8</v>
      </c>
      <c r="H241">
        <v>127454</v>
      </c>
      <c r="I241" t="s">
        <v>48</v>
      </c>
      <c r="J241">
        <v>1019632</v>
      </c>
      <c r="K241" t="s">
        <v>21</v>
      </c>
      <c r="L241" t="s">
        <v>19</v>
      </c>
    </row>
    <row r="242" spans="1:12" x14ac:dyDescent="0.25">
      <c r="A242" t="s">
        <v>317</v>
      </c>
      <c r="B242" s="1">
        <v>45445</v>
      </c>
      <c r="C242" t="s">
        <v>2</v>
      </c>
      <c r="D242" t="s">
        <v>54</v>
      </c>
      <c r="E242" t="s">
        <v>30</v>
      </c>
      <c r="F242" t="s">
        <v>63</v>
      </c>
      <c r="G242">
        <v>2</v>
      </c>
      <c r="H242">
        <v>64877</v>
      </c>
      <c r="I242" t="s">
        <v>48</v>
      </c>
      <c r="J242">
        <v>129754</v>
      </c>
      <c r="K242" t="s">
        <v>26</v>
      </c>
      <c r="L242" t="s">
        <v>20</v>
      </c>
    </row>
    <row r="243" spans="1:12" x14ac:dyDescent="0.25">
      <c r="A243" t="s">
        <v>318</v>
      </c>
      <c r="B243" s="1">
        <v>45409</v>
      </c>
      <c r="C243" t="s">
        <v>3</v>
      </c>
      <c r="D243" t="s">
        <v>69</v>
      </c>
      <c r="E243" t="s">
        <v>32</v>
      </c>
      <c r="F243" t="s">
        <v>87</v>
      </c>
      <c r="G243">
        <v>3</v>
      </c>
      <c r="H243">
        <v>97074</v>
      </c>
      <c r="I243" t="s">
        <v>60</v>
      </c>
      <c r="J243">
        <v>276660.90000000002</v>
      </c>
      <c r="K243" t="s">
        <v>27</v>
      </c>
      <c r="L243" t="s">
        <v>20</v>
      </c>
    </row>
    <row r="244" spans="1:12" x14ac:dyDescent="0.25">
      <c r="A244" t="s">
        <v>319</v>
      </c>
      <c r="B244" s="1">
        <v>45597</v>
      </c>
      <c r="C244" t="s">
        <v>2</v>
      </c>
      <c r="D244" t="s">
        <v>62</v>
      </c>
      <c r="E244" t="s">
        <v>29</v>
      </c>
      <c r="F244" t="s">
        <v>47</v>
      </c>
      <c r="G244">
        <v>12</v>
      </c>
      <c r="H244">
        <v>118765</v>
      </c>
      <c r="I244" t="s">
        <v>48</v>
      </c>
      <c r="J244">
        <v>1425180</v>
      </c>
      <c r="K244" t="s">
        <v>25</v>
      </c>
      <c r="L244" t="s">
        <v>20</v>
      </c>
    </row>
    <row r="245" spans="1:12" x14ac:dyDescent="0.25">
      <c r="A245" t="s">
        <v>320</v>
      </c>
      <c r="B245" s="1">
        <v>45527</v>
      </c>
      <c r="C245" t="s">
        <v>3</v>
      </c>
      <c r="D245" t="s">
        <v>69</v>
      </c>
      <c r="E245" t="s">
        <v>31</v>
      </c>
      <c r="F245" t="s">
        <v>65</v>
      </c>
      <c r="G245">
        <v>5</v>
      </c>
      <c r="H245">
        <v>128917</v>
      </c>
      <c r="I245" t="s">
        <v>60</v>
      </c>
      <c r="J245">
        <v>612355.75</v>
      </c>
      <c r="K245" t="s">
        <v>28</v>
      </c>
      <c r="L245" t="s">
        <v>20</v>
      </c>
    </row>
    <row r="246" spans="1:12" x14ac:dyDescent="0.25">
      <c r="A246" t="s">
        <v>321</v>
      </c>
      <c r="B246" s="1">
        <v>45513</v>
      </c>
      <c r="C246" t="s">
        <v>3</v>
      </c>
      <c r="D246" t="s">
        <v>59</v>
      </c>
      <c r="E246" t="s">
        <v>30</v>
      </c>
      <c r="F246" t="s">
        <v>63</v>
      </c>
      <c r="G246">
        <v>17</v>
      </c>
      <c r="H246">
        <v>22198</v>
      </c>
      <c r="I246" t="s">
        <v>52</v>
      </c>
      <c r="J246">
        <v>339629.4</v>
      </c>
      <c r="K246" t="s">
        <v>24</v>
      </c>
      <c r="L246" t="s">
        <v>18</v>
      </c>
    </row>
    <row r="247" spans="1:12" x14ac:dyDescent="0.25">
      <c r="A247" t="s">
        <v>322</v>
      </c>
      <c r="B247" s="1">
        <v>45594</v>
      </c>
      <c r="C247" t="s">
        <v>2</v>
      </c>
      <c r="D247" t="s">
        <v>46</v>
      </c>
      <c r="E247" t="s">
        <v>31</v>
      </c>
      <c r="F247" t="s">
        <v>106</v>
      </c>
      <c r="G247">
        <v>23</v>
      </c>
      <c r="H247">
        <v>47238</v>
      </c>
      <c r="I247" t="s">
        <v>52</v>
      </c>
      <c r="J247">
        <v>977826.6</v>
      </c>
      <c r="K247" t="s">
        <v>24</v>
      </c>
      <c r="L247" t="s">
        <v>20</v>
      </c>
    </row>
    <row r="248" spans="1:12" x14ac:dyDescent="0.25">
      <c r="A248" t="s">
        <v>323</v>
      </c>
      <c r="B248" s="1">
        <v>45520</v>
      </c>
      <c r="C248" t="s">
        <v>3</v>
      </c>
      <c r="D248" t="s">
        <v>59</v>
      </c>
      <c r="E248" t="s">
        <v>29</v>
      </c>
      <c r="F248" t="s">
        <v>72</v>
      </c>
      <c r="G248">
        <v>21</v>
      </c>
      <c r="H248">
        <v>80709</v>
      </c>
      <c r="I248" t="s">
        <v>48</v>
      </c>
      <c r="J248">
        <v>1694889</v>
      </c>
      <c r="K248" t="s">
        <v>22</v>
      </c>
      <c r="L248" t="s">
        <v>18</v>
      </c>
    </row>
    <row r="249" spans="1:12" x14ac:dyDescent="0.25">
      <c r="A249" t="s">
        <v>324</v>
      </c>
      <c r="B249" s="1">
        <v>45357</v>
      </c>
      <c r="C249" t="s">
        <v>2</v>
      </c>
      <c r="D249" t="s">
        <v>62</v>
      </c>
      <c r="E249" t="s">
        <v>31</v>
      </c>
      <c r="F249" t="s">
        <v>106</v>
      </c>
      <c r="G249">
        <v>11</v>
      </c>
      <c r="H249">
        <v>56682</v>
      </c>
      <c r="I249" t="s">
        <v>52</v>
      </c>
      <c r="J249">
        <v>561151.80000000005</v>
      </c>
      <c r="K249" t="s">
        <v>21</v>
      </c>
      <c r="L249" t="s">
        <v>18</v>
      </c>
    </row>
    <row r="250" spans="1:12" x14ac:dyDescent="0.25">
      <c r="A250" t="s">
        <v>325</v>
      </c>
      <c r="B250" s="1">
        <v>45394</v>
      </c>
      <c r="C250" t="s">
        <v>2</v>
      </c>
      <c r="D250" t="s">
        <v>62</v>
      </c>
      <c r="E250" t="s">
        <v>30</v>
      </c>
      <c r="F250" t="s">
        <v>124</v>
      </c>
      <c r="G250">
        <v>6</v>
      </c>
      <c r="H250">
        <v>68215</v>
      </c>
      <c r="I250" t="s">
        <v>52</v>
      </c>
      <c r="J250">
        <v>368361</v>
      </c>
      <c r="K250" t="s">
        <v>28</v>
      </c>
      <c r="L250" t="s">
        <v>18</v>
      </c>
    </row>
    <row r="251" spans="1:12" x14ac:dyDescent="0.25">
      <c r="A251" t="s">
        <v>326</v>
      </c>
      <c r="B251" s="1">
        <v>45543</v>
      </c>
      <c r="C251" t="s">
        <v>2</v>
      </c>
      <c r="D251" t="s">
        <v>62</v>
      </c>
      <c r="E251" t="s">
        <v>29</v>
      </c>
      <c r="F251" t="s">
        <v>55</v>
      </c>
      <c r="G251">
        <v>2</v>
      </c>
      <c r="H251">
        <v>9949</v>
      </c>
      <c r="I251" t="s">
        <v>52</v>
      </c>
      <c r="J251">
        <v>17908.2</v>
      </c>
      <c r="K251" t="s">
        <v>26</v>
      </c>
      <c r="L251" t="s">
        <v>19</v>
      </c>
    </row>
    <row r="252" spans="1:12" x14ac:dyDescent="0.25">
      <c r="A252" t="s">
        <v>327</v>
      </c>
      <c r="B252" s="1">
        <v>45597</v>
      </c>
      <c r="C252" t="s">
        <v>3</v>
      </c>
      <c r="D252" t="s">
        <v>67</v>
      </c>
      <c r="E252" t="s">
        <v>32</v>
      </c>
      <c r="F252" t="s">
        <v>96</v>
      </c>
      <c r="G252">
        <v>2</v>
      </c>
      <c r="H252">
        <v>141013</v>
      </c>
      <c r="I252" t="s">
        <v>52</v>
      </c>
      <c r="J252">
        <v>253823.4</v>
      </c>
      <c r="K252" t="s">
        <v>28</v>
      </c>
      <c r="L252" t="s">
        <v>20</v>
      </c>
    </row>
    <row r="253" spans="1:12" x14ac:dyDescent="0.25">
      <c r="A253" t="s">
        <v>328</v>
      </c>
      <c r="B253" s="1">
        <v>45626</v>
      </c>
      <c r="C253" t="s">
        <v>3</v>
      </c>
      <c r="D253" t="s">
        <v>67</v>
      </c>
      <c r="E253" t="s">
        <v>31</v>
      </c>
      <c r="F253" t="s">
        <v>106</v>
      </c>
      <c r="G253">
        <v>19</v>
      </c>
      <c r="H253">
        <v>78745</v>
      </c>
      <c r="I253" t="s">
        <v>52</v>
      </c>
      <c r="J253">
        <v>1346539.5</v>
      </c>
      <c r="K253" t="s">
        <v>24</v>
      </c>
      <c r="L253" t="s">
        <v>18</v>
      </c>
    </row>
    <row r="254" spans="1:12" x14ac:dyDescent="0.25">
      <c r="A254" t="s">
        <v>329</v>
      </c>
      <c r="B254" s="1">
        <v>45599</v>
      </c>
      <c r="C254" t="s">
        <v>3</v>
      </c>
      <c r="D254" t="s">
        <v>67</v>
      </c>
      <c r="E254" t="s">
        <v>30</v>
      </c>
      <c r="F254" t="s">
        <v>124</v>
      </c>
      <c r="G254">
        <v>6</v>
      </c>
      <c r="H254">
        <v>100239</v>
      </c>
      <c r="I254" t="s">
        <v>60</v>
      </c>
      <c r="J254">
        <v>571362.30000000005</v>
      </c>
      <c r="K254" t="s">
        <v>27</v>
      </c>
      <c r="L254" t="s">
        <v>19</v>
      </c>
    </row>
    <row r="255" spans="1:12" x14ac:dyDescent="0.25">
      <c r="A255" t="s">
        <v>330</v>
      </c>
      <c r="B255" s="1">
        <v>45626</v>
      </c>
      <c r="C255" t="s">
        <v>4</v>
      </c>
      <c r="D255" t="s">
        <v>57</v>
      </c>
      <c r="E255" t="s">
        <v>31</v>
      </c>
      <c r="F255" t="s">
        <v>106</v>
      </c>
      <c r="G255">
        <v>23</v>
      </c>
      <c r="H255">
        <v>46088</v>
      </c>
      <c r="I255" t="s">
        <v>52</v>
      </c>
      <c r="J255">
        <v>954021.6</v>
      </c>
      <c r="K255" t="s">
        <v>21</v>
      </c>
      <c r="L255" t="s">
        <v>19</v>
      </c>
    </row>
    <row r="256" spans="1:12" x14ac:dyDescent="0.25">
      <c r="A256" t="s">
        <v>331</v>
      </c>
      <c r="B256" s="1">
        <v>45424</v>
      </c>
      <c r="C256" t="s">
        <v>4</v>
      </c>
      <c r="D256" t="s">
        <v>93</v>
      </c>
      <c r="E256" t="s">
        <v>30</v>
      </c>
      <c r="F256" t="s">
        <v>112</v>
      </c>
      <c r="G256">
        <v>4</v>
      </c>
      <c r="H256">
        <v>58479</v>
      </c>
      <c r="I256" t="s">
        <v>48</v>
      </c>
      <c r="J256">
        <v>233916</v>
      </c>
      <c r="K256" t="s">
        <v>24</v>
      </c>
      <c r="L256" t="s">
        <v>20</v>
      </c>
    </row>
    <row r="257" spans="1:12" x14ac:dyDescent="0.25">
      <c r="A257" t="s">
        <v>332</v>
      </c>
      <c r="B257" s="1">
        <v>45621</v>
      </c>
      <c r="C257" t="s">
        <v>4</v>
      </c>
      <c r="D257" t="s">
        <v>57</v>
      </c>
      <c r="E257" t="s">
        <v>29</v>
      </c>
      <c r="F257" t="s">
        <v>47</v>
      </c>
      <c r="G257">
        <v>17</v>
      </c>
      <c r="H257">
        <v>22963</v>
      </c>
      <c r="I257" t="s">
        <v>52</v>
      </c>
      <c r="J257">
        <v>351333.9</v>
      </c>
      <c r="K257" t="s">
        <v>23</v>
      </c>
      <c r="L257" t="s">
        <v>20</v>
      </c>
    </row>
    <row r="258" spans="1:12" x14ac:dyDescent="0.25">
      <c r="A258" t="s">
        <v>333</v>
      </c>
      <c r="B258" s="1">
        <v>45631</v>
      </c>
      <c r="C258" t="s">
        <v>4</v>
      </c>
      <c r="D258" t="s">
        <v>50</v>
      </c>
      <c r="E258" t="s">
        <v>31</v>
      </c>
      <c r="F258" t="s">
        <v>80</v>
      </c>
      <c r="G258">
        <v>24</v>
      </c>
      <c r="H258">
        <v>105468</v>
      </c>
      <c r="I258" t="s">
        <v>52</v>
      </c>
      <c r="J258">
        <v>2278108.7999999998</v>
      </c>
      <c r="K258" t="s">
        <v>23</v>
      </c>
      <c r="L258" t="s">
        <v>19</v>
      </c>
    </row>
    <row r="259" spans="1:12" x14ac:dyDescent="0.25">
      <c r="A259" t="s">
        <v>334</v>
      </c>
      <c r="B259" s="1">
        <v>45325</v>
      </c>
      <c r="C259" t="s">
        <v>2</v>
      </c>
      <c r="D259" t="s">
        <v>62</v>
      </c>
      <c r="E259" t="s">
        <v>31</v>
      </c>
      <c r="F259" t="s">
        <v>98</v>
      </c>
      <c r="G259">
        <v>6</v>
      </c>
      <c r="H259">
        <v>17388</v>
      </c>
      <c r="I259" t="s">
        <v>48</v>
      </c>
      <c r="J259">
        <v>104328</v>
      </c>
      <c r="K259" t="s">
        <v>26</v>
      </c>
      <c r="L259" t="s">
        <v>20</v>
      </c>
    </row>
    <row r="260" spans="1:12" x14ac:dyDescent="0.25">
      <c r="A260" t="s">
        <v>335</v>
      </c>
      <c r="B260" s="1">
        <v>45496</v>
      </c>
      <c r="C260" t="s">
        <v>2</v>
      </c>
      <c r="D260" t="s">
        <v>62</v>
      </c>
      <c r="E260" t="s">
        <v>30</v>
      </c>
      <c r="F260" t="s">
        <v>85</v>
      </c>
      <c r="G260">
        <v>11</v>
      </c>
      <c r="H260">
        <v>146087</v>
      </c>
      <c r="I260" t="s">
        <v>60</v>
      </c>
      <c r="J260">
        <v>1526609.15</v>
      </c>
      <c r="K260" t="s">
        <v>24</v>
      </c>
      <c r="L260" t="s">
        <v>18</v>
      </c>
    </row>
    <row r="261" spans="1:12" x14ac:dyDescent="0.25">
      <c r="A261" t="s">
        <v>336</v>
      </c>
      <c r="B261" s="1">
        <v>45402</v>
      </c>
      <c r="C261" t="s">
        <v>2</v>
      </c>
      <c r="D261" t="s">
        <v>54</v>
      </c>
      <c r="E261" t="s">
        <v>29</v>
      </c>
      <c r="F261" t="s">
        <v>55</v>
      </c>
      <c r="G261">
        <v>23</v>
      </c>
      <c r="H261">
        <v>140162</v>
      </c>
      <c r="I261" t="s">
        <v>52</v>
      </c>
      <c r="J261">
        <v>2901353.4</v>
      </c>
      <c r="K261" t="s">
        <v>23</v>
      </c>
      <c r="L261" t="s">
        <v>20</v>
      </c>
    </row>
    <row r="262" spans="1:12" x14ac:dyDescent="0.25">
      <c r="A262" t="s">
        <v>337</v>
      </c>
      <c r="B262" s="1">
        <v>45299</v>
      </c>
      <c r="C262" t="s">
        <v>3</v>
      </c>
      <c r="D262" t="s">
        <v>67</v>
      </c>
      <c r="E262" t="s">
        <v>32</v>
      </c>
      <c r="F262" t="s">
        <v>122</v>
      </c>
      <c r="G262">
        <v>4</v>
      </c>
      <c r="H262">
        <v>128827</v>
      </c>
      <c r="I262" t="s">
        <v>52</v>
      </c>
      <c r="J262">
        <v>463777.2</v>
      </c>
      <c r="K262" t="s">
        <v>28</v>
      </c>
      <c r="L262" t="s">
        <v>18</v>
      </c>
    </row>
    <row r="263" spans="1:12" x14ac:dyDescent="0.25">
      <c r="A263" t="s">
        <v>338</v>
      </c>
      <c r="B263" s="1">
        <v>45475</v>
      </c>
      <c r="C263" t="s">
        <v>4</v>
      </c>
      <c r="D263" t="s">
        <v>57</v>
      </c>
      <c r="E263" t="s">
        <v>31</v>
      </c>
      <c r="F263" t="s">
        <v>75</v>
      </c>
      <c r="G263">
        <v>3</v>
      </c>
      <c r="H263">
        <v>104570</v>
      </c>
      <c r="I263" t="s">
        <v>52</v>
      </c>
      <c r="J263">
        <v>282339</v>
      </c>
      <c r="K263" t="s">
        <v>23</v>
      </c>
      <c r="L263" t="s">
        <v>18</v>
      </c>
    </row>
    <row r="264" spans="1:12" x14ac:dyDescent="0.25">
      <c r="A264" t="s">
        <v>339</v>
      </c>
      <c r="B264" s="1">
        <v>45446</v>
      </c>
      <c r="C264" t="s">
        <v>4</v>
      </c>
      <c r="D264" t="s">
        <v>93</v>
      </c>
      <c r="E264" t="s">
        <v>31</v>
      </c>
      <c r="F264" t="s">
        <v>80</v>
      </c>
      <c r="G264">
        <v>18</v>
      </c>
      <c r="H264">
        <v>31732</v>
      </c>
      <c r="I264" t="s">
        <v>60</v>
      </c>
      <c r="J264">
        <v>542617.19999999995</v>
      </c>
      <c r="K264" t="s">
        <v>26</v>
      </c>
      <c r="L264" t="s">
        <v>19</v>
      </c>
    </row>
    <row r="265" spans="1:12" x14ac:dyDescent="0.25">
      <c r="A265" t="s">
        <v>340</v>
      </c>
      <c r="B265" s="1">
        <v>45413</v>
      </c>
      <c r="C265" t="s">
        <v>2</v>
      </c>
      <c r="D265" t="s">
        <v>62</v>
      </c>
      <c r="E265" t="s">
        <v>29</v>
      </c>
      <c r="F265" t="s">
        <v>51</v>
      </c>
      <c r="G265">
        <v>19</v>
      </c>
      <c r="H265">
        <v>60108</v>
      </c>
      <c r="I265" t="s">
        <v>48</v>
      </c>
      <c r="J265">
        <v>1142052</v>
      </c>
      <c r="K265" t="s">
        <v>22</v>
      </c>
      <c r="L265" t="s">
        <v>19</v>
      </c>
    </row>
    <row r="266" spans="1:12" x14ac:dyDescent="0.25">
      <c r="A266" t="s">
        <v>341</v>
      </c>
      <c r="B266" s="1">
        <v>45296</v>
      </c>
      <c r="C266" t="s">
        <v>2</v>
      </c>
      <c r="D266" t="s">
        <v>46</v>
      </c>
      <c r="E266" t="s">
        <v>29</v>
      </c>
      <c r="F266" t="s">
        <v>55</v>
      </c>
      <c r="G266">
        <v>18</v>
      </c>
      <c r="H266">
        <v>114195</v>
      </c>
      <c r="I266" t="s">
        <v>48</v>
      </c>
      <c r="J266">
        <v>2055510</v>
      </c>
      <c r="K266" t="s">
        <v>24</v>
      </c>
      <c r="L266" t="s">
        <v>18</v>
      </c>
    </row>
    <row r="267" spans="1:12" x14ac:dyDescent="0.25">
      <c r="A267" t="s">
        <v>342</v>
      </c>
      <c r="B267" s="1">
        <v>45461</v>
      </c>
      <c r="C267" t="s">
        <v>2</v>
      </c>
      <c r="D267" t="s">
        <v>46</v>
      </c>
      <c r="E267" t="s">
        <v>31</v>
      </c>
      <c r="F267" t="s">
        <v>80</v>
      </c>
      <c r="G267">
        <v>22</v>
      </c>
      <c r="H267">
        <v>82252</v>
      </c>
      <c r="I267" t="s">
        <v>52</v>
      </c>
      <c r="J267">
        <v>1628589.6</v>
      </c>
      <c r="K267" t="s">
        <v>28</v>
      </c>
      <c r="L267" t="s">
        <v>18</v>
      </c>
    </row>
    <row r="268" spans="1:12" x14ac:dyDescent="0.25">
      <c r="A268" t="s">
        <v>343</v>
      </c>
      <c r="B268" s="1">
        <v>45617</v>
      </c>
      <c r="C268" t="s">
        <v>3</v>
      </c>
      <c r="D268" t="s">
        <v>59</v>
      </c>
      <c r="E268" t="s">
        <v>29</v>
      </c>
      <c r="F268" t="s">
        <v>47</v>
      </c>
      <c r="G268">
        <v>1</v>
      </c>
      <c r="H268">
        <v>107680</v>
      </c>
      <c r="I268" t="s">
        <v>52</v>
      </c>
      <c r="J268">
        <v>96912</v>
      </c>
      <c r="K268" t="s">
        <v>25</v>
      </c>
      <c r="L268" t="s">
        <v>19</v>
      </c>
    </row>
    <row r="269" spans="1:12" x14ac:dyDescent="0.25">
      <c r="A269" t="s">
        <v>344</v>
      </c>
      <c r="B269" s="1">
        <v>45303</v>
      </c>
      <c r="C269" t="s">
        <v>4</v>
      </c>
      <c r="D269" t="s">
        <v>93</v>
      </c>
      <c r="E269" t="s">
        <v>31</v>
      </c>
      <c r="F269" t="s">
        <v>80</v>
      </c>
      <c r="G269">
        <v>14</v>
      </c>
      <c r="H269">
        <v>54745</v>
      </c>
      <c r="I269" t="s">
        <v>60</v>
      </c>
      <c r="J269">
        <v>728108.5</v>
      </c>
      <c r="K269" t="s">
        <v>21</v>
      </c>
      <c r="L269" t="s">
        <v>20</v>
      </c>
    </row>
    <row r="270" spans="1:12" x14ac:dyDescent="0.25">
      <c r="A270" t="s">
        <v>345</v>
      </c>
      <c r="B270" s="1">
        <v>45369</v>
      </c>
      <c r="C270" t="s">
        <v>2</v>
      </c>
      <c r="D270" t="s">
        <v>54</v>
      </c>
      <c r="E270" t="s">
        <v>29</v>
      </c>
      <c r="F270" t="s">
        <v>47</v>
      </c>
      <c r="G270">
        <v>13</v>
      </c>
      <c r="H270">
        <v>26624</v>
      </c>
      <c r="I270" t="s">
        <v>52</v>
      </c>
      <c r="J270">
        <v>311500.79999999999</v>
      </c>
      <c r="K270" t="s">
        <v>24</v>
      </c>
      <c r="L270" t="s">
        <v>20</v>
      </c>
    </row>
    <row r="271" spans="1:12" x14ac:dyDescent="0.25">
      <c r="A271" t="s">
        <v>346</v>
      </c>
      <c r="B271" s="1">
        <v>45573</v>
      </c>
      <c r="C271" t="s">
        <v>4</v>
      </c>
      <c r="D271" t="s">
        <v>93</v>
      </c>
      <c r="E271" t="s">
        <v>32</v>
      </c>
      <c r="F271" t="s">
        <v>87</v>
      </c>
      <c r="G271">
        <v>15</v>
      </c>
      <c r="H271">
        <v>139312</v>
      </c>
      <c r="I271" t="s">
        <v>48</v>
      </c>
      <c r="J271">
        <v>2089680</v>
      </c>
      <c r="K271" t="s">
        <v>26</v>
      </c>
      <c r="L271" t="s">
        <v>18</v>
      </c>
    </row>
    <row r="272" spans="1:12" x14ac:dyDescent="0.25">
      <c r="A272" t="s">
        <v>347</v>
      </c>
      <c r="B272" s="1">
        <v>45505</v>
      </c>
      <c r="C272" t="s">
        <v>2</v>
      </c>
      <c r="D272" t="s">
        <v>54</v>
      </c>
      <c r="E272" t="s">
        <v>32</v>
      </c>
      <c r="F272" t="s">
        <v>70</v>
      </c>
      <c r="G272">
        <v>15</v>
      </c>
      <c r="H272">
        <v>121831</v>
      </c>
      <c r="I272" t="s">
        <v>48</v>
      </c>
      <c r="J272">
        <v>1827465</v>
      </c>
      <c r="K272" t="s">
        <v>21</v>
      </c>
      <c r="L272" t="s">
        <v>20</v>
      </c>
    </row>
    <row r="273" spans="1:12" x14ac:dyDescent="0.25">
      <c r="A273" t="s">
        <v>348</v>
      </c>
      <c r="B273" s="1">
        <v>45352</v>
      </c>
      <c r="C273" t="s">
        <v>2</v>
      </c>
      <c r="D273" t="s">
        <v>46</v>
      </c>
      <c r="E273" t="s">
        <v>29</v>
      </c>
      <c r="F273" t="s">
        <v>47</v>
      </c>
      <c r="G273">
        <v>17</v>
      </c>
      <c r="H273">
        <v>98257</v>
      </c>
      <c r="I273" t="s">
        <v>60</v>
      </c>
      <c r="J273">
        <v>1586850.55</v>
      </c>
      <c r="K273" t="s">
        <v>26</v>
      </c>
      <c r="L273" t="s">
        <v>18</v>
      </c>
    </row>
    <row r="274" spans="1:12" x14ac:dyDescent="0.25">
      <c r="A274" t="s">
        <v>349</v>
      </c>
      <c r="B274" s="1">
        <v>45583</v>
      </c>
      <c r="C274" t="s">
        <v>4</v>
      </c>
      <c r="D274" t="s">
        <v>57</v>
      </c>
      <c r="E274" t="s">
        <v>29</v>
      </c>
      <c r="F274" t="s">
        <v>51</v>
      </c>
      <c r="G274">
        <v>1</v>
      </c>
      <c r="H274">
        <v>130600</v>
      </c>
      <c r="I274" t="s">
        <v>52</v>
      </c>
      <c r="J274">
        <v>117540</v>
      </c>
      <c r="K274" t="s">
        <v>22</v>
      </c>
      <c r="L274" t="s">
        <v>18</v>
      </c>
    </row>
    <row r="275" spans="1:12" x14ac:dyDescent="0.25">
      <c r="A275" t="s">
        <v>350</v>
      </c>
      <c r="B275" s="1">
        <v>45646</v>
      </c>
      <c r="C275" t="s">
        <v>4</v>
      </c>
      <c r="D275" t="s">
        <v>50</v>
      </c>
      <c r="E275" t="s">
        <v>31</v>
      </c>
      <c r="F275" t="s">
        <v>98</v>
      </c>
      <c r="G275">
        <v>20</v>
      </c>
      <c r="H275">
        <v>134374</v>
      </c>
      <c r="I275" t="s">
        <v>52</v>
      </c>
      <c r="J275">
        <v>2418732</v>
      </c>
      <c r="K275" t="s">
        <v>26</v>
      </c>
      <c r="L275" t="s">
        <v>18</v>
      </c>
    </row>
    <row r="276" spans="1:12" x14ac:dyDescent="0.25">
      <c r="A276" t="s">
        <v>351</v>
      </c>
      <c r="B276" s="1">
        <v>45418</v>
      </c>
      <c r="C276" t="s">
        <v>2</v>
      </c>
      <c r="D276" t="s">
        <v>46</v>
      </c>
      <c r="E276" t="s">
        <v>32</v>
      </c>
      <c r="F276" t="s">
        <v>122</v>
      </c>
      <c r="G276">
        <v>24</v>
      </c>
      <c r="H276">
        <v>114317</v>
      </c>
      <c r="I276" t="s">
        <v>52</v>
      </c>
      <c r="J276">
        <v>2469247.2000000002</v>
      </c>
      <c r="K276" t="s">
        <v>28</v>
      </c>
      <c r="L276" t="s">
        <v>19</v>
      </c>
    </row>
    <row r="277" spans="1:12" x14ac:dyDescent="0.25">
      <c r="A277" t="s">
        <v>352</v>
      </c>
      <c r="B277" s="1">
        <v>45305</v>
      </c>
      <c r="C277" t="s">
        <v>3</v>
      </c>
      <c r="D277" t="s">
        <v>67</v>
      </c>
      <c r="E277" t="s">
        <v>29</v>
      </c>
      <c r="F277" t="s">
        <v>89</v>
      </c>
      <c r="G277">
        <v>23</v>
      </c>
      <c r="H277">
        <v>70661</v>
      </c>
      <c r="I277" t="s">
        <v>48</v>
      </c>
      <c r="J277">
        <v>1625203</v>
      </c>
      <c r="K277" t="s">
        <v>25</v>
      </c>
      <c r="L277" t="s">
        <v>18</v>
      </c>
    </row>
    <row r="278" spans="1:12" x14ac:dyDescent="0.25">
      <c r="A278" t="s">
        <v>353</v>
      </c>
      <c r="B278" s="1">
        <v>45507</v>
      </c>
      <c r="C278" t="s">
        <v>2</v>
      </c>
      <c r="D278" t="s">
        <v>46</v>
      </c>
      <c r="E278" t="s">
        <v>31</v>
      </c>
      <c r="F278" t="s">
        <v>80</v>
      </c>
      <c r="G278">
        <v>2</v>
      </c>
      <c r="H278">
        <v>108113</v>
      </c>
      <c r="I278" t="s">
        <v>48</v>
      </c>
      <c r="J278">
        <v>216226</v>
      </c>
      <c r="K278" t="s">
        <v>23</v>
      </c>
      <c r="L278" t="s">
        <v>19</v>
      </c>
    </row>
    <row r="279" spans="1:12" x14ac:dyDescent="0.25">
      <c r="A279" t="s">
        <v>354</v>
      </c>
      <c r="B279" s="1">
        <v>45305</v>
      </c>
      <c r="C279" t="s">
        <v>3</v>
      </c>
      <c r="D279" t="s">
        <v>69</v>
      </c>
      <c r="E279" t="s">
        <v>29</v>
      </c>
      <c r="F279" t="s">
        <v>47</v>
      </c>
      <c r="G279">
        <v>24</v>
      </c>
      <c r="H279">
        <v>139198</v>
      </c>
      <c r="I279" t="s">
        <v>60</v>
      </c>
      <c r="J279">
        <v>3173714.4</v>
      </c>
      <c r="K279" t="s">
        <v>27</v>
      </c>
      <c r="L279" t="s">
        <v>18</v>
      </c>
    </row>
    <row r="280" spans="1:12" x14ac:dyDescent="0.25">
      <c r="A280" t="s">
        <v>355</v>
      </c>
      <c r="B280" s="1">
        <v>45294</v>
      </c>
      <c r="C280" t="s">
        <v>2</v>
      </c>
      <c r="D280" t="s">
        <v>62</v>
      </c>
      <c r="E280" t="s">
        <v>31</v>
      </c>
      <c r="F280" t="s">
        <v>98</v>
      </c>
      <c r="G280">
        <v>15</v>
      </c>
      <c r="H280">
        <v>85838</v>
      </c>
      <c r="I280" t="s">
        <v>60</v>
      </c>
      <c r="J280">
        <v>1223191.5</v>
      </c>
      <c r="K280" t="s">
        <v>27</v>
      </c>
      <c r="L280" t="s">
        <v>20</v>
      </c>
    </row>
    <row r="281" spans="1:12" x14ac:dyDescent="0.25">
      <c r="A281" t="s">
        <v>356</v>
      </c>
      <c r="B281" s="1">
        <v>45529</v>
      </c>
      <c r="C281" t="s">
        <v>2</v>
      </c>
      <c r="D281" t="s">
        <v>62</v>
      </c>
      <c r="E281" t="s">
        <v>30</v>
      </c>
      <c r="F281" t="s">
        <v>91</v>
      </c>
      <c r="G281">
        <v>11</v>
      </c>
      <c r="H281">
        <v>41638</v>
      </c>
      <c r="I281" t="s">
        <v>60</v>
      </c>
      <c r="J281">
        <v>435117.1</v>
      </c>
      <c r="K281" t="s">
        <v>26</v>
      </c>
      <c r="L281" t="s">
        <v>19</v>
      </c>
    </row>
    <row r="282" spans="1:12" x14ac:dyDescent="0.25">
      <c r="A282" t="s">
        <v>357</v>
      </c>
      <c r="B282" s="1">
        <v>45565</v>
      </c>
      <c r="C282" t="s">
        <v>4</v>
      </c>
      <c r="D282" t="s">
        <v>57</v>
      </c>
      <c r="E282" t="s">
        <v>29</v>
      </c>
      <c r="F282" t="s">
        <v>47</v>
      </c>
      <c r="G282">
        <v>6</v>
      </c>
      <c r="H282">
        <v>108186</v>
      </c>
      <c r="I282" t="s">
        <v>48</v>
      </c>
      <c r="J282">
        <v>649116</v>
      </c>
      <c r="K282" t="s">
        <v>21</v>
      </c>
      <c r="L282" t="s">
        <v>20</v>
      </c>
    </row>
    <row r="283" spans="1:12" x14ac:dyDescent="0.25">
      <c r="A283" t="s">
        <v>358</v>
      </c>
      <c r="B283" s="1">
        <v>45306</v>
      </c>
      <c r="C283" t="s">
        <v>3</v>
      </c>
      <c r="D283" t="s">
        <v>69</v>
      </c>
      <c r="E283" t="s">
        <v>31</v>
      </c>
      <c r="F283" t="s">
        <v>106</v>
      </c>
      <c r="G283">
        <v>23</v>
      </c>
      <c r="H283">
        <v>114076</v>
      </c>
      <c r="I283" t="s">
        <v>48</v>
      </c>
      <c r="J283">
        <v>2623748</v>
      </c>
      <c r="K283" t="s">
        <v>22</v>
      </c>
      <c r="L283" t="s">
        <v>18</v>
      </c>
    </row>
    <row r="284" spans="1:12" x14ac:dyDescent="0.25">
      <c r="A284" t="s">
        <v>359</v>
      </c>
      <c r="B284" s="1">
        <v>45319</v>
      </c>
      <c r="C284" t="s">
        <v>4</v>
      </c>
      <c r="D284" t="s">
        <v>50</v>
      </c>
      <c r="E284" t="s">
        <v>30</v>
      </c>
      <c r="F284" t="s">
        <v>91</v>
      </c>
      <c r="G284">
        <v>10</v>
      </c>
      <c r="H284">
        <v>4062</v>
      </c>
      <c r="I284" t="s">
        <v>60</v>
      </c>
      <c r="J284">
        <v>38589</v>
      </c>
      <c r="K284" t="s">
        <v>26</v>
      </c>
      <c r="L284" t="s">
        <v>20</v>
      </c>
    </row>
    <row r="285" spans="1:12" x14ac:dyDescent="0.25">
      <c r="A285" t="s">
        <v>360</v>
      </c>
      <c r="B285" s="1">
        <v>45564</v>
      </c>
      <c r="C285" t="s">
        <v>2</v>
      </c>
      <c r="D285" t="s">
        <v>46</v>
      </c>
      <c r="E285" t="s">
        <v>31</v>
      </c>
      <c r="F285" t="s">
        <v>80</v>
      </c>
      <c r="G285">
        <v>7</v>
      </c>
      <c r="H285">
        <v>140301</v>
      </c>
      <c r="I285" t="s">
        <v>52</v>
      </c>
      <c r="J285">
        <v>883896.3</v>
      </c>
      <c r="K285" t="s">
        <v>26</v>
      </c>
      <c r="L285" t="s">
        <v>20</v>
      </c>
    </row>
    <row r="286" spans="1:12" x14ac:dyDescent="0.25">
      <c r="A286" t="s">
        <v>361</v>
      </c>
      <c r="B286" s="1">
        <v>45417</v>
      </c>
      <c r="C286" t="s">
        <v>2</v>
      </c>
      <c r="D286" t="s">
        <v>62</v>
      </c>
      <c r="E286" t="s">
        <v>29</v>
      </c>
      <c r="F286" t="s">
        <v>72</v>
      </c>
      <c r="G286">
        <v>12</v>
      </c>
      <c r="H286">
        <v>7632</v>
      </c>
      <c r="I286" t="s">
        <v>60</v>
      </c>
      <c r="J286">
        <v>87004.800000000003</v>
      </c>
      <c r="K286" t="s">
        <v>28</v>
      </c>
      <c r="L286" t="s">
        <v>18</v>
      </c>
    </row>
    <row r="287" spans="1:12" x14ac:dyDescent="0.25">
      <c r="A287" t="s">
        <v>362</v>
      </c>
      <c r="B287" s="1">
        <v>45436</v>
      </c>
      <c r="C287" t="s">
        <v>4</v>
      </c>
      <c r="D287" t="s">
        <v>50</v>
      </c>
      <c r="E287" t="s">
        <v>32</v>
      </c>
      <c r="F287" t="s">
        <v>109</v>
      </c>
      <c r="G287">
        <v>13</v>
      </c>
      <c r="H287">
        <v>112779</v>
      </c>
      <c r="I287" t="s">
        <v>60</v>
      </c>
      <c r="J287">
        <v>1392820.65</v>
      </c>
      <c r="K287" t="s">
        <v>22</v>
      </c>
      <c r="L287" t="s">
        <v>20</v>
      </c>
    </row>
    <row r="288" spans="1:12" x14ac:dyDescent="0.25">
      <c r="A288" t="s">
        <v>363</v>
      </c>
      <c r="B288" s="1">
        <v>45316</v>
      </c>
      <c r="C288" t="s">
        <v>4</v>
      </c>
      <c r="D288" t="s">
        <v>93</v>
      </c>
      <c r="E288" t="s">
        <v>31</v>
      </c>
      <c r="F288" t="s">
        <v>75</v>
      </c>
      <c r="G288">
        <v>4</v>
      </c>
      <c r="H288">
        <v>10561</v>
      </c>
      <c r="I288" t="s">
        <v>48</v>
      </c>
      <c r="J288">
        <v>42244</v>
      </c>
      <c r="K288" t="s">
        <v>27</v>
      </c>
      <c r="L288" t="s">
        <v>18</v>
      </c>
    </row>
    <row r="289" spans="1:12" x14ac:dyDescent="0.25">
      <c r="A289" t="s">
        <v>364</v>
      </c>
      <c r="B289" s="1">
        <v>45358</v>
      </c>
      <c r="C289" t="s">
        <v>4</v>
      </c>
      <c r="D289" t="s">
        <v>93</v>
      </c>
      <c r="E289" t="s">
        <v>32</v>
      </c>
      <c r="F289" t="s">
        <v>122</v>
      </c>
      <c r="G289">
        <v>9</v>
      </c>
      <c r="H289">
        <v>128036</v>
      </c>
      <c r="I289" t="s">
        <v>60</v>
      </c>
      <c r="J289">
        <v>1094707.8</v>
      </c>
      <c r="K289" t="s">
        <v>28</v>
      </c>
      <c r="L289" t="s">
        <v>20</v>
      </c>
    </row>
    <row r="290" spans="1:12" x14ac:dyDescent="0.25">
      <c r="A290" t="s">
        <v>365</v>
      </c>
      <c r="B290" s="1">
        <v>45437</v>
      </c>
      <c r="C290" t="s">
        <v>4</v>
      </c>
      <c r="D290" t="s">
        <v>93</v>
      </c>
      <c r="E290" t="s">
        <v>30</v>
      </c>
      <c r="F290" t="s">
        <v>124</v>
      </c>
      <c r="G290">
        <v>15</v>
      </c>
      <c r="H290">
        <v>140443</v>
      </c>
      <c r="I290" t="s">
        <v>52</v>
      </c>
      <c r="J290">
        <v>1895980.5</v>
      </c>
      <c r="K290" t="s">
        <v>21</v>
      </c>
      <c r="L290" t="s">
        <v>20</v>
      </c>
    </row>
    <row r="291" spans="1:12" x14ac:dyDescent="0.25">
      <c r="A291" t="s">
        <v>366</v>
      </c>
      <c r="B291" s="1">
        <v>45402</v>
      </c>
      <c r="C291" t="s">
        <v>3</v>
      </c>
      <c r="D291" t="s">
        <v>67</v>
      </c>
      <c r="E291" t="s">
        <v>29</v>
      </c>
      <c r="F291" t="s">
        <v>55</v>
      </c>
      <c r="G291">
        <v>22</v>
      </c>
      <c r="H291">
        <v>15910</v>
      </c>
      <c r="I291" t="s">
        <v>48</v>
      </c>
      <c r="J291">
        <v>350020</v>
      </c>
      <c r="K291" t="s">
        <v>22</v>
      </c>
      <c r="L291" t="s">
        <v>20</v>
      </c>
    </row>
    <row r="292" spans="1:12" x14ac:dyDescent="0.25">
      <c r="A292" t="s">
        <v>367</v>
      </c>
      <c r="B292" s="1">
        <v>45555</v>
      </c>
      <c r="C292" t="s">
        <v>2</v>
      </c>
      <c r="D292" t="s">
        <v>62</v>
      </c>
      <c r="E292" t="s">
        <v>29</v>
      </c>
      <c r="F292" t="s">
        <v>89</v>
      </c>
      <c r="G292">
        <v>8</v>
      </c>
      <c r="H292">
        <v>84264</v>
      </c>
      <c r="I292" t="s">
        <v>52</v>
      </c>
      <c r="J292">
        <v>606700.80000000005</v>
      </c>
      <c r="K292" t="s">
        <v>28</v>
      </c>
      <c r="L292" t="s">
        <v>18</v>
      </c>
    </row>
    <row r="293" spans="1:12" x14ac:dyDescent="0.25">
      <c r="A293" t="s">
        <v>368</v>
      </c>
      <c r="B293" s="1">
        <v>45527</v>
      </c>
      <c r="C293" t="s">
        <v>4</v>
      </c>
      <c r="D293" t="s">
        <v>93</v>
      </c>
      <c r="E293" t="s">
        <v>30</v>
      </c>
      <c r="F293" t="s">
        <v>112</v>
      </c>
      <c r="G293">
        <v>19</v>
      </c>
      <c r="H293">
        <v>103776</v>
      </c>
      <c r="I293" t="s">
        <v>52</v>
      </c>
      <c r="J293">
        <v>1774569.6</v>
      </c>
      <c r="K293" t="s">
        <v>25</v>
      </c>
      <c r="L293" t="s">
        <v>19</v>
      </c>
    </row>
    <row r="294" spans="1:12" x14ac:dyDescent="0.25">
      <c r="A294" t="s">
        <v>369</v>
      </c>
      <c r="B294" s="1">
        <v>45392</v>
      </c>
      <c r="C294" t="s">
        <v>2</v>
      </c>
      <c r="D294" t="s">
        <v>46</v>
      </c>
      <c r="E294" t="s">
        <v>32</v>
      </c>
      <c r="F294" t="s">
        <v>122</v>
      </c>
      <c r="G294">
        <v>6</v>
      </c>
      <c r="H294">
        <v>51447</v>
      </c>
      <c r="I294" t="s">
        <v>52</v>
      </c>
      <c r="J294">
        <v>277813.8</v>
      </c>
      <c r="K294" t="s">
        <v>21</v>
      </c>
      <c r="L294" t="s">
        <v>19</v>
      </c>
    </row>
    <row r="295" spans="1:12" x14ac:dyDescent="0.25">
      <c r="A295" t="s">
        <v>370</v>
      </c>
      <c r="B295" s="1">
        <v>45517</v>
      </c>
      <c r="C295" t="s">
        <v>2</v>
      </c>
      <c r="D295" t="s">
        <v>62</v>
      </c>
      <c r="E295" t="s">
        <v>32</v>
      </c>
      <c r="F295" t="s">
        <v>70</v>
      </c>
      <c r="G295">
        <v>24</v>
      </c>
      <c r="H295">
        <v>79090</v>
      </c>
      <c r="I295" t="s">
        <v>48</v>
      </c>
      <c r="J295">
        <v>1898160</v>
      </c>
      <c r="K295" t="s">
        <v>26</v>
      </c>
      <c r="L295" t="s">
        <v>18</v>
      </c>
    </row>
    <row r="296" spans="1:12" x14ac:dyDescent="0.25">
      <c r="A296" t="s">
        <v>371</v>
      </c>
      <c r="B296" s="1">
        <v>45656</v>
      </c>
      <c r="C296" t="s">
        <v>4</v>
      </c>
      <c r="D296" t="s">
        <v>93</v>
      </c>
      <c r="E296" t="s">
        <v>29</v>
      </c>
      <c r="F296" t="s">
        <v>72</v>
      </c>
      <c r="G296">
        <v>6</v>
      </c>
      <c r="H296">
        <v>6812</v>
      </c>
      <c r="I296" t="s">
        <v>48</v>
      </c>
      <c r="J296">
        <v>40872</v>
      </c>
      <c r="K296" t="s">
        <v>27</v>
      </c>
      <c r="L296" t="s">
        <v>19</v>
      </c>
    </row>
    <row r="297" spans="1:12" x14ac:dyDescent="0.25">
      <c r="A297" t="s">
        <v>372</v>
      </c>
      <c r="B297" s="1">
        <v>45580</v>
      </c>
      <c r="C297" t="s">
        <v>3</v>
      </c>
      <c r="D297" t="s">
        <v>69</v>
      </c>
      <c r="E297" t="s">
        <v>31</v>
      </c>
      <c r="F297" t="s">
        <v>80</v>
      </c>
      <c r="G297">
        <v>21</v>
      </c>
      <c r="H297">
        <v>119421</v>
      </c>
      <c r="I297" t="s">
        <v>48</v>
      </c>
      <c r="J297">
        <v>2507841</v>
      </c>
      <c r="K297" t="s">
        <v>23</v>
      </c>
      <c r="L297" t="s">
        <v>20</v>
      </c>
    </row>
    <row r="298" spans="1:12" x14ac:dyDescent="0.25">
      <c r="A298" t="s">
        <v>373</v>
      </c>
      <c r="B298" s="1">
        <v>45361</v>
      </c>
      <c r="C298" t="s">
        <v>4</v>
      </c>
      <c r="D298" t="s">
        <v>93</v>
      </c>
      <c r="E298" t="s">
        <v>32</v>
      </c>
      <c r="F298" t="s">
        <v>70</v>
      </c>
      <c r="G298">
        <v>23</v>
      </c>
      <c r="H298">
        <v>75303</v>
      </c>
      <c r="I298" t="s">
        <v>60</v>
      </c>
      <c r="J298">
        <v>1645370.55</v>
      </c>
      <c r="K298" t="s">
        <v>25</v>
      </c>
      <c r="L298" t="s">
        <v>19</v>
      </c>
    </row>
    <row r="299" spans="1:12" x14ac:dyDescent="0.25">
      <c r="A299" t="s">
        <v>374</v>
      </c>
      <c r="B299" s="1">
        <v>45295</v>
      </c>
      <c r="C299" t="s">
        <v>2</v>
      </c>
      <c r="D299" t="s">
        <v>46</v>
      </c>
      <c r="E299" t="s">
        <v>29</v>
      </c>
      <c r="F299" t="s">
        <v>55</v>
      </c>
      <c r="G299">
        <v>11</v>
      </c>
      <c r="H299">
        <v>79125</v>
      </c>
      <c r="I299" t="s">
        <v>60</v>
      </c>
      <c r="J299">
        <v>826856.25</v>
      </c>
      <c r="K299" t="s">
        <v>25</v>
      </c>
      <c r="L299" t="s">
        <v>20</v>
      </c>
    </row>
    <row r="300" spans="1:12" x14ac:dyDescent="0.25">
      <c r="A300" t="s">
        <v>375</v>
      </c>
      <c r="B300" s="1">
        <v>45386</v>
      </c>
      <c r="C300" t="s">
        <v>4</v>
      </c>
      <c r="D300" t="s">
        <v>57</v>
      </c>
      <c r="E300" t="s">
        <v>29</v>
      </c>
      <c r="F300" t="s">
        <v>51</v>
      </c>
      <c r="G300">
        <v>24</v>
      </c>
      <c r="H300">
        <v>127040</v>
      </c>
      <c r="I300" t="s">
        <v>52</v>
      </c>
      <c r="J300">
        <v>2744064</v>
      </c>
      <c r="K300" t="s">
        <v>22</v>
      </c>
      <c r="L300" t="s">
        <v>19</v>
      </c>
    </row>
    <row r="301" spans="1:12" x14ac:dyDescent="0.25">
      <c r="A301" t="s">
        <v>376</v>
      </c>
      <c r="B301" s="1">
        <v>45538</v>
      </c>
      <c r="C301" t="s">
        <v>2</v>
      </c>
      <c r="D301" t="s">
        <v>46</v>
      </c>
      <c r="E301" t="s">
        <v>30</v>
      </c>
      <c r="F301" t="s">
        <v>85</v>
      </c>
      <c r="G301">
        <v>3</v>
      </c>
      <c r="H301">
        <v>7324</v>
      </c>
      <c r="I301" t="s">
        <v>48</v>
      </c>
      <c r="J301">
        <v>21972</v>
      </c>
      <c r="K301" t="s">
        <v>27</v>
      </c>
      <c r="L301" t="s">
        <v>19</v>
      </c>
    </row>
    <row r="302" spans="1:12" x14ac:dyDescent="0.25">
      <c r="A302" t="s">
        <v>377</v>
      </c>
      <c r="B302" s="1">
        <v>45327</v>
      </c>
      <c r="C302" t="s">
        <v>2</v>
      </c>
      <c r="D302" t="s">
        <v>54</v>
      </c>
      <c r="E302" t="s">
        <v>32</v>
      </c>
      <c r="F302" t="s">
        <v>70</v>
      </c>
      <c r="G302">
        <v>24</v>
      </c>
      <c r="H302">
        <v>19389</v>
      </c>
      <c r="I302" t="s">
        <v>48</v>
      </c>
      <c r="J302">
        <v>465336</v>
      </c>
      <c r="K302" t="s">
        <v>21</v>
      </c>
      <c r="L302" t="s">
        <v>18</v>
      </c>
    </row>
    <row r="303" spans="1:12" x14ac:dyDescent="0.25">
      <c r="A303" t="s">
        <v>378</v>
      </c>
      <c r="B303" s="1">
        <v>45613</v>
      </c>
      <c r="C303" t="s">
        <v>2</v>
      </c>
      <c r="D303" t="s">
        <v>54</v>
      </c>
      <c r="E303" t="s">
        <v>29</v>
      </c>
      <c r="F303" t="s">
        <v>89</v>
      </c>
      <c r="G303">
        <v>20</v>
      </c>
      <c r="H303">
        <v>125883</v>
      </c>
      <c r="I303" t="s">
        <v>52</v>
      </c>
      <c r="J303">
        <v>2265894</v>
      </c>
      <c r="K303" t="s">
        <v>26</v>
      </c>
      <c r="L303" t="s">
        <v>18</v>
      </c>
    </row>
    <row r="304" spans="1:12" x14ac:dyDescent="0.25">
      <c r="A304" t="s">
        <v>379</v>
      </c>
      <c r="B304" s="1">
        <v>45626</v>
      </c>
      <c r="C304" t="s">
        <v>3</v>
      </c>
      <c r="D304" t="s">
        <v>59</v>
      </c>
      <c r="E304" t="s">
        <v>29</v>
      </c>
      <c r="F304" t="s">
        <v>89</v>
      </c>
      <c r="G304">
        <v>6</v>
      </c>
      <c r="H304">
        <v>134189</v>
      </c>
      <c r="I304" t="s">
        <v>48</v>
      </c>
      <c r="J304">
        <v>805134</v>
      </c>
      <c r="K304" t="s">
        <v>28</v>
      </c>
      <c r="L304" t="s">
        <v>20</v>
      </c>
    </row>
    <row r="305" spans="1:12" x14ac:dyDescent="0.25">
      <c r="A305" t="s">
        <v>380</v>
      </c>
      <c r="B305" s="1">
        <v>45385</v>
      </c>
      <c r="C305" t="s">
        <v>4</v>
      </c>
      <c r="D305" t="s">
        <v>50</v>
      </c>
      <c r="E305" t="s">
        <v>32</v>
      </c>
      <c r="F305" t="s">
        <v>70</v>
      </c>
      <c r="G305">
        <v>24</v>
      </c>
      <c r="H305">
        <v>16234</v>
      </c>
      <c r="I305" t="s">
        <v>48</v>
      </c>
      <c r="J305">
        <v>389616</v>
      </c>
      <c r="K305" t="s">
        <v>22</v>
      </c>
      <c r="L305" t="s">
        <v>20</v>
      </c>
    </row>
    <row r="306" spans="1:12" x14ac:dyDescent="0.25">
      <c r="A306" t="s">
        <v>381</v>
      </c>
      <c r="B306" s="1">
        <v>45353</v>
      </c>
      <c r="C306" t="s">
        <v>2</v>
      </c>
      <c r="D306" t="s">
        <v>46</v>
      </c>
      <c r="E306" t="s">
        <v>32</v>
      </c>
      <c r="F306" t="s">
        <v>122</v>
      </c>
      <c r="G306">
        <v>2</v>
      </c>
      <c r="H306">
        <v>3846</v>
      </c>
      <c r="I306" t="s">
        <v>48</v>
      </c>
      <c r="J306">
        <v>7692</v>
      </c>
      <c r="K306" t="s">
        <v>26</v>
      </c>
      <c r="L306" t="s">
        <v>19</v>
      </c>
    </row>
    <row r="307" spans="1:12" x14ac:dyDescent="0.25">
      <c r="A307" t="s">
        <v>382</v>
      </c>
      <c r="B307" s="1">
        <v>45494</v>
      </c>
      <c r="C307" t="s">
        <v>2</v>
      </c>
      <c r="D307" t="s">
        <v>46</v>
      </c>
      <c r="E307" t="s">
        <v>29</v>
      </c>
      <c r="F307" t="s">
        <v>72</v>
      </c>
      <c r="G307">
        <v>8</v>
      </c>
      <c r="H307">
        <v>49514</v>
      </c>
      <c r="I307" t="s">
        <v>60</v>
      </c>
      <c r="J307">
        <v>376306.4</v>
      </c>
      <c r="K307" t="s">
        <v>21</v>
      </c>
      <c r="L307" t="s">
        <v>20</v>
      </c>
    </row>
    <row r="308" spans="1:12" x14ac:dyDescent="0.25">
      <c r="A308" t="s">
        <v>383</v>
      </c>
      <c r="B308" s="1">
        <v>45464</v>
      </c>
      <c r="C308" t="s">
        <v>4</v>
      </c>
      <c r="D308" t="s">
        <v>57</v>
      </c>
      <c r="E308" t="s">
        <v>30</v>
      </c>
      <c r="F308" t="s">
        <v>124</v>
      </c>
      <c r="G308">
        <v>12</v>
      </c>
      <c r="H308">
        <v>140541</v>
      </c>
      <c r="I308" t="s">
        <v>48</v>
      </c>
      <c r="J308">
        <v>1686492</v>
      </c>
      <c r="K308" t="s">
        <v>28</v>
      </c>
      <c r="L308" t="s">
        <v>18</v>
      </c>
    </row>
    <row r="309" spans="1:12" x14ac:dyDescent="0.25">
      <c r="A309" t="s">
        <v>384</v>
      </c>
      <c r="B309" s="1">
        <v>45409</v>
      </c>
      <c r="C309" t="s">
        <v>2</v>
      </c>
      <c r="D309" t="s">
        <v>54</v>
      </c>
      <c r="E309" t="s">
        <v>29</v>
      </c>
      <c r="F309" t="s">
        <v>72</v>
      </c>
      <c r="G309">
        <v>4</v>
      </c>
      <c r="H309">
        <v>94922</v>
      </c>
      <c r="I309" t="s">
        <v>60</v>
      </c>
      <c r="J309">
        <v>360703.6</v>
      </c>
      <c r="K309" t="s">
        <v>27</v>
      </c>
      <c r="L309" t="s">
        <v>18</v>
      </c>
    </row>
    <row r="310" spans="1:12" x14ac:dyDescent="0.25">
      <c r="A310" t="s">
        <v>385</v>
      </c>
      <c r="B310" s="1">
        <v>45503</v>
      </c>
      <c r="C310" t="s">
        <v>4</v>
      </c>
      <c r="D310" t="s">
        <v>50</v>
      </c>
      <c r="E310" t="s">
        <v>30</v>
      </c>
      <c r="F310" t="s">
        <v>124</v>
      </c>
      <c r="G310">
        <v>1</v>
      </c>
      <c r="H310">
        <v>130534</v>
      </c>
      <c r="I310" t="s">
        <v>48</v>
      </c>
      <c r="J310">
        <v>130534</v>
      </c>
      <c r="K310" t="s">
        <v>27</v>
      </c>
      <c r="L310" t="s">
        <v>19</v>
      </c>
    </row>
    <row r="311" spans="1:12" x14ac:dyDescent="0.25">
      <c r="A311" t="s">
        <v>386</v>
      </c>
      <c r="B311" s="1">
        <v>45292</v>
      </c>
      <c r="C311" t="s">
        <v>3</v>
      </c>
      <c r="D311" t="s">
        <v>69</v>
      </c>
      <c r="E311" t="s">
        <v>29</v>
      </c>
      <c r="F311" t="s">
        <v>89</v>
      </c>
      <c r="G311">
        <v>14</v>
      </c>
      <c r="H311">
        <v>45533</v>
      </c>
      <c r="I311" t="s">
        <v>60</v>
      </c>
      <c r="J311">
        <v>605588.9</v>
      </c>
      <c r="K311" t="s">
        <v>25</v>
      </c>
      <c r="L311" t="s">
        <v>20</v>
      </c>
    </row>
    <row r="312" spans="1:12" x14ac:dyDescent="0.25">
      <c r="A312" t="s">
        <v>387</v>
      </c>
      <c r="B312" s="1">
        <v>45584</v>
      </c>
      <c r="C312" t="s">
        <v>3</v>
      </c>
      <c r="D312" t="s">
        <v>69</v>
      </c>
      <c r="E312" t="s">
        <v>30</v>
      </c>
      <c r="F312" t="s">
        <v>124</v>
      </c>
      <c r="G312">
        <v>11</v>
      </c>
      <c r="H312">
        <v>35254</v>
      </c>
      <c r="I312" t="s">
        <v>60</v>
      </c>
      <c r="J312">
        <v>368404.3</v>
      </c>
      <c r="K312" t="s">
        <v>25</v>
      </c>
      <c r="L312" t="s">
        <v>20</v>
      </c>
    </row>
    <row r="313" spans="1:12" x14ac:dyDescent="0.25">
      <c r="A313" t="s">
        <v>388</v>
      </c>
      <c r="B313" s="1">
        <v>45647</v>
      </c>
      <c r="C313" t="s">
        <v>2</v>
      </c>
      <c r="D313" t="s">
        <v>62</v>
      </c>
      <c r="E313" t="s">
        <v>32</v>
      </c>
      <c r="F313" t="s">
        <v>109</v>
      </c>
      <c r="G313">
        <v>13</v>
      </c>
      <c r="H313">
        <v>50362</v>
      </c>
      <c r="I313" t="s">
        <v>60</v>
      </c>
      <c r="J313">
        <v>621970.69999999995</v>
      </c>
      <c r="K313" t="s">
        <v>21</v>
      </c>
      <c r="L313" t="s">
        <v>19</v>
      </c>
    </row>
    <row r="314" spans="1:12" x14ac:dyDescent="0.25">
      <c r="A314" t="s">
        <v>389</v>
      </c>
      <c r="B314" s="1">
        <v>45452</v>
      </c>
      <c r="C314" t="s">
        <v>3</v>
      </c>
      <c r="D314" t="s">
        <v>59</v>
      </c>
      <c r="E314" t="s">
        <v>29</v>
      </c>
      <c r="F314" t="s">
        <v>72</v>
      </c>
      <c r="G314">
        <v>6</v>
      </c>
      <c r="H314">
        <v>68545</v>
      </c>
      <c r="I314" t="s">
        <v>48</v>
      </c>
      <c r="J314">
        <v>411270</v>
      </c>
      <c r="K314" t="s">
        <v>22</v>
      </c>
      <c r="L314" t="s">
        <v>20</v>
      </c>
    </row>
    <row r="315" spans="1:12" x14ac:dyDescent="0.25">
      <c r="A315" t="s">
        <v>390</v>
      </c>
      <c r="B315" s="1">
        <v>45552</v>
      </c>
      <c r="C315" t="s">
        <v>4</v>
      </c>
      <c r="D315" t="s">
        <v>93</v>
      </c>
      <c r="E315" t="s">
        <v>29</v>
      </c>
      <c r="F315" t="s">
        <v>47</v>
      </c>
      <c r="G315">
        <v>23</v>
      </c>
      <c r="H315">
        <v>143937</v>
      </c>
      <c r="I315" t="s">
        <v>60</v>
      </c>
      <c r="J315">
        <v>3145023.45</v>
      </c>
      <c r="K315" t="s">
        <v>24</v>
      </c>
      <c r="L315" t="s">
        <v>19</v>
      </c>
    </row>
    <row r="316" spans="1:12" x14ac:dyDescent="0.25">
      <c r="A316" t="s">
        <v>391</v>
      </c>
      <c r="B316" s="1">
        <v>45463</v>
      </c>
      <c r="C316" t="s">
        <v>3</v>
      </c>
      <c r="D316" t="s">
        <v>59</v>
      </c>
      <c r="E316" t="s">
        <v>29</v>
      </c>
      <c r="F316" t="s">
        <v>51</v>
      </c>
      <c r="G316">
        <v>2</v>
      </c>
      <c r="H316">
        <v>119748</v>
      </c>
      <c r="I316" t="s">
        <v>52</v>
      </c>
      <c r="J316">
        <v>215546.4</v>
      </c>
      <c r="K316" t="s">
        <v>23</v>
      </c>
      <c r="L316" t="s">
        <v>20</v>
      </c>
    </row>
    <row r="317" spans="1:12" x14ac:dyDescent="0.25">
      <c r="A317" t="s">
        <v>392</v>
      </c>
      <c r="B317" s="1">
        <v>45459</v>
      </c>
      <c r="C317" t="s">
        <v>3</v>
      </c>
      <c r="D317" t="s">
        <v>69</v>
      </c>
      <c r="E317" t="s">
        <v>30</v>
      </c>
      <c r="F317" t="s">
        <v>112</v>
      </c>
      <c r="G317">
        <v>2</v>
      </c>
      <c r="H317">
        <v>11512</v>
      </c>
      <c r="I317" t="s">
        <v>48</v>
      </c>
      <c r="J317">
        <v>23024</v>
      </c>
      <c r="K317" t="s">
        <v>22</v>
      </c>
      <c r="L317" t="s">
        <v>18</v>
      </c>
    </row>
    <row r="318" spans="1:12" x14ac:dyDescent="0.25">
      <c r="A318" t="s">
        <v>393</v>
      </c>
      <c r="B318" s="1">
        <v>45610</v>
      </c>
      <c r="C318" t="s">
        <v>4</v>
      </c>
      <c r="D318" t="s">
        <v>57</v>
      </c>
      <c r="E318" t="s">
        <v>30</v>
      </c>
      <c r="F318" t="s">
        <v>124</v>
      </c>
      <c r="G318">
        <v>5</v>
      </c>
      <c r="H318">
        <v>111872</v>
      </c>
      <c r="I318" t="s">
        <v>48</v>
      </c>
      <c r="J318">
        <v>559360</v>
      </c>
      <c r="K318" t="s">
        <v>23</v>
      </c>
      <c r="L318" t="s">
        <v>20</v>
      </c>
    </row>
    <row r="319" spans="1:12" x14ac:dyDescent="0.25">
      <c r="A319" t="s">
        <v>394</v>
      </c>
      <c r="B319" s="1">
        <v>45564</v>
      </c>
      <c r="C319" t="s">
        <v>2</v>
      </c>
      <c r="D319" t="s">
        <v>46</v>
      </c>
      <c r="E319" t="s">
        <v>32</v>
      </c>
      <c r="F319" t="s">
        <v>87</v>
      </c>
      <c r="G319">
        <v>9</v>
      </c>
      <c r="H319">
        <v>96070</v>
      </c>
      <c r="I319" t="s">
        <v>60</v>
      </c>
      <c r="J319">
        <v>821398.5</v>
      </c>
      <c r="K319" t="s">
        <v>26</v>
      </c>
      <c r="L319" t="s">
        <v>20</v>
      </c>
    </row>
    <row r="320" spans="1:12" x14ac:dyDescent="0.25">
      <c r="A320" t="s">
        <v>395</v>
      </c>
      <c r="B320" s="1">
        <v>45329</v>
      </c>
      <c r="C320" t="s">
        <v>2</v>
      </c>
      <c r="D320" t="s">
        <v>54</v>
      </c>
      <c r="E320" t="s">
        <v>29</v>
      </c>
      <c r="F320" t="s">
        <v>47</v>
      </c>
      <c r="G320">
        <v>23</v>
      </c>
      <c r="H320">
        <v>45078</v>
      </c>
      <c r="I320" t="s">
        <v>48</v>
      </c>
      <c r="J320">
        <v>1036794</v>
      </c>
      <c r="K320" t="s">
        <v>27</v>
      </c>
      <c r="L320" t="s">
        <v>18</v>
      </c>
    </row>
    <row r="321" spans="1:12" x14ac:dyDescent="0.25">
      <c r="A321" t="s">
        <v>396</v>
      </c>
      <c r="B321" s="1">
        <v>45596</v>
      </c>
      <c r="C321" t="s">
        <v>2</v>
      </c>
      <c r="D321" t="s">
        <v>62</v>
      </c>
      <c r="E321" t="s">
        <v>29</v>
      </c>
      <c r="F321" t="s">
        <v>51</v>
      </c>
      <c r="G321">
        <v>5</v>
      </c>
      <c r="H321">
        <v>15219</v>
      </c>
      <c r="I321" t="s">
        <v>52</v>
      </c>
      <c r="J321">
        <v>68485.5</v>
      </c>
      <c r="K321" t="s">
        <v>21</v>
      </c>
      <c r="L321" t="s">
        <v>19</v>
      </c>
    </row>
    <row r="322" spans="1:12" x14ac:dyDescent="0.25">
      <c r="A322" t="s">
        <v>397</v>
      </c>
      <c r="B322" s="1">
        <v>45527</v>
      </c>
      <c r="C322" t="s">
        <v>4</v>
      </c>
      <c r="D322" t="s">
        <v>93</v>
      </c>
      <c r="E322" t="s">
        <v>29</v>
      </c>
      <c r="F322" t="s">
        <v>47</v>
      </c>
      <c r="G322">
        <v>18</v>
      </c>
      <c r="H322">
        <v>130309</v>
      </c>
      <c r="I322" t="s">
        <v>48</v>
      </c>
      <c r="J322">
        <v>2345562</v>
      </c>
      <c r="K322" t="s">
        <v>27</v>
      </c>
      <c r="L322" t="s">
        <v>19</v>
      </c>
    </row>
    <row r="323" spans="1:12" x14ac:dyDescent="0.25">
      <c r="A323" t="s">
        <v>398</v>
      </c>
      <c r="B323" s="1">
        <v>45428</v>
      </c>
      <c r="C323" t="s">
        <v>3</v>
      </c>
      <c r="D323" t="s">
        <v>59</v>
      </c>
      <c r="E323" t="s">
        <v>29</v>
      </c>
      <c r="F323" t="s">
        <v>89</v>
      </c>
      <c r="G323">
        <v>2</v>
      </c>
      <c r="H323">
        <v>87555</v>
      </c>
      <c r="I323" t="s">
        <v>60</v>
      </c>
      <c r="J323">
        <v>166354.5</v>
      </c>
      <c r="K323" t="s">
        <v>26</v>
      </c>
      <c r="L323" t="s">
        <v>19</v>
      </c>
    </row>
    <row r="324" spans="1:12" x14ac:dyDescent="0.25">
      <c r="A324" t="s">
        <v>399</v>
      </c>
      <c r="B324" s="1">
        <v>45326</v>
      </c>
      <c r="C324" t="s">
        <v>2</v>
      </c>
      <c r="D324" t="s">
        <v>54</v>
      </c>
      <c r="E324" t="s">
        <v>31</v>
      </c>
      <c r="F324" t="s">
        <v>65</v>
      </c>
      <c r="G324">
        <v>1</v>
      </c>
      <c r="H324">
        <v>139487</v>
      </c>
      <c r="I324" t="s">
        <v>48</v>
      </c>
      <c r="J324">
        <v>139487</v>
      </c>
      <c r="K324" t="s">
        <v>21</v>
      </c>
      <c r="L324" t="s">
        <v>20</v>
      </c>
    </row>
    <row r="325" spans="1:12" x14ac:dyDescent="0.25">
      <c r="A325" t="s">
        <v>400</v>
      </c>
      <c r="B325" s="1">
        <v>45611</v>
      </c>
      <c r="C325" t="s">
        <v>3</v>
      </c>
      <c r="D325" t="s">
        <v>69</v>
      </c>
      <c r="E325" t="s">
        <v>31</v>
      </c>
      <c r="F325" t="s">
        <v>106</v>
      </c>
      <c r="G325">
        <v>22</v>
      </c>
      <c r="H325">
        <v>140023</v>
      </c>
      <c r="I325" t="s">
        <v>60</v>
      </c>
      <c r="J325">
        <v>2926480.7</v>
      </c>
      <c r="K325" t="s">
        <v>22</v>
      </c>
      <c r="L325" t="s">
        <v>20</v>
      </c>
    </row>
    <row r="326" spans="1:12" x14ac:dyDescent="0.25">
      <c r="A326" t="s">
        <v>401</v>
      </c>
      <c r="B326" s="1">
        <v>45640</v>
      </c>
      <c r="C326" t="s">
        <v>4</v>
      </c>
      <c r="D326" t="s">
        <v>57</v>
      </c>
      <c r="E326" t="s">
        <v>29</v>
      </c>
      <c r="F326" t="s">
        <v>51</v>
      </c>
      <c r="G326">
        <v>8</v>
      </c>
      <c r="H326">
        <v>61596</v>
      </c>
      <c r="I326" t="s">
        <v>52</v>
      </c>
      <c r="J326">
        <v>443491.2</v>
      </c>
      <c r="K326" t="s">
        <v>21</v>
      </c>
      <c r="L326" t="s">
        <v>18</v>
      </c>
    </row>
    <row r="327" spans="1:12" x14ac:dyDescent="0.25">
      <c r="A327" t="s">
        <v>402</v>
      </c>
      <c r="B327" s="1">
        <v>45561</v>
      </c>
      <c r="C327" t="s">
        <v>4</v>
      </c>
      <c r="D327" t="s">
        <v>93</v>
      </c>
      <c r="E327" t="s">
        <v>32</v>
      </c>
      <c r="F327" t="s">
        <v>109</v>
      </c>
      <c r="G327">
        <v>3</v>
      </c>
      <c r="H327">
        <v>89740</v>
      </c>
      <c r="I327" t="s">
        <v>60</v>
      </c>
      <c r="J327">
        <v>255759</v>
      </c>
      <c r="K327" t="s">
        <v>26</v>
      </c>
      <c r="L327" t="s">
        <v>20</v>
      </c>
    </row>
    <row r="328" spans="1:12" x14ac:dyDescent="0.25">
      <c r="A328" t="s">
        <v>403</v>
      </c>
      <c r="B328" s="1">
        <v>45456</v>
      </c>
      <c r="C328" t="s">
        <v>2</v>
      </c>
      <c r="D328" t="s">
        <v>62</v>
      </c>
      <c r="E328" t="s">
        <v>30</v>
      </c>
      <c r="F328" t="s">
        <v>112</v>
      </c>
      <c r="G328">
        <v>5</v>
      </c>
      <c r="H328">
        <v>134149</v>
      </c>
      <c r="I328" t="s">
        <v>52</v>
      </c>
      <c r="J328">
        <v>603670.5</v>
      </c>
      <c r="K328" t="s">
        <v>27</v>
      </c>
      <c r="L328" t="s">
        <v>19</v>
      </c>
    </row>
    <row r="329" spans="1:12" x14ac:dyDescent="0.25">
      <c r="A329" t="s">
        <v>404</v>
      </c>
      <c r="B329" s="1">
        <v>45353</v>
      </c>
      <c r="C329" t="s">
        <v>2</v>
      </c>
      <c r="D329" t="s">
        <v>54</v>
      </c>
      <c r="E329" t="s">
        <v>29</v>
      </c>
      <c r="F329" t="s">
        <v>51</v>
      </c>
      <c r="G329">
        <v>4</v>
      </c>
      <c r="H329">
        <v>17060</v>
      </c>
      <c r="I329" t="s">
        <v>52</v>
      </c>
      <c r="J329">
        <v>61416</v>
      </c>
      <c r="K329" t="s">
        <v>26</v>
      </c>
      <c r="L329" t="s">
        <v>18</v>
      </c>
    </row>
    <row r="330" spans="1:12" x14ac:dyDescent="0.25">
      <c r="A330" t="s">
        <v>405</v>
      </c>
      <c r="B330" s="1">
        <v>45333</v>
      </c>
      <c r="C330" t="s">
        <v>3</v>
      </c>
      <c r="D330" t="s">
        <v>67</v>
      </c>
      <c r="E330" t="s">
        <v>32</v>
      </c>
      <c r="F330" t="s">
        <v>87</v>
      </c>
      <c r="G330">
        <v>18</v>
      </c>
      <c r="H330">
        <v>46303</v>
      </c>
      <c r="I330" t="s">
        <v>52</v>
      </c>
      <c r="J330">
        <v>750108.6</v>
      </c>
      <c r="K330" t="s">
        <v>24</v>
      </c>
      <c r="L330" t="s">
        <v>19</v>
      </c>
    </row>
    <row r="331" spans="1:12" x14ac:dyDescent="0.25">
      <c r="A331" t="s">
        <v>406</v>
      </c>
      <c r="B331" s="1">
        <v>45619</v>
      </c>
      <c r="C331" t="s">
        <v>4</v>
      </c>
      <c r="D331" t="s">
        <v>93</v>
      </c>
      <c r="E331" t="s">
        <v>30</v>
      </c>
      <c r="F331" t="s">
        <v>85</v>
      </c>
      <c r="G331">
        <v>7</v>
      </c>
      <c r="H331">
        <v>42711</v>
      </c>
      <c r="I331" t="s">
        <v>60</v>
      </c>
      <c r="J331">
        <v>284028.15000000002</v>
      </c>
      <c r="K331" t="s">
        <v>28</v>
      </c>
      <c r="L331" t="s">
        <v>19</v>
      </c>
    </row>
    <row r="332" spans="1:12" x14ac:dyDescent="0.25">
      <c r="A332" t="s">
        <v>407</v>
      </c>
      <c r="B332" s="1">
        <v>45470</v>
      </c>
      <c r="C332" t="s">
        <v>3</v>
      </c>
      <c r="D332" t="s">
        <v>67</v>
      </c>
      <c r="E332" t="s">
        <v>29</v>
      </c>
      <c r="F332" t="s">
        <v>89</v>
      </c>
      <c r="G332">
        <v>6</v>
      </c>
      <c r="H332">
        <v>105974</v>
      </c>
      <c r="I332" t="s">
        <v>52</v>
      </c>
      <c r="J332">
        <v>572259.6</v>
      </c>
      <c r="K332" t="s">
        <v>27</v>
      </c>
      <c r="L332" t="s">
        <v>18</v>
      </c>
    </row>
    <row r="333" spans="1:12" x14ac:dyDescent="0.25">
      <c r="A333" t="s">
        <v>408</v>
      </c>
      <c r="B333" s="1">
        <v>45434</v>
      </c>
      <c r="C333" t="s">
        <v>2</v>
      </c>
      <c r="D333" t="s">
        <v>62</v>
      </c>
      <c r="E333" t="s">
        <v>32</v>
      </c>
      <c r="F333" t="s">
        <v>96</v>
      </c>
      <c r="G333">
        <v>1</v>
      </c>
      <c r="H333">
        <v>70728</v>
      </c>
      <c r="I333" t="s">
        <v>60</v>
      </c>
      <c r="J333">
        <v>67191.600000000006</v>
      </c>
      <c r="K333" t="s">
        <v>24</v>
      </c>
      <c r="L333" t="s">
        <v>19</v>
      </c>
    </row>
    <row r="334" spans="1:12" x14ac:dyDescent="0.25">
      <c r="A334" t="s">
        <v>409</v>
      </c>
      <c r="B334" s="1">
        <v>45516</v>
      </c>
      <c r="C334" t="s">
        <v>4</v>
      </c>
      <c r="D334" t="s">
        <v>57</v>
      </c>
      <c r="E334" t="s">
        <v>31</v>
      </c>
      <c r="F334" t="s">
        <v>98</v>
      </c>
      <c r="G334">
        <v>15</v>
      </c>
      <c r="H334">
        <v>130796</v>
      </c>
      <c r="I334" t="s">
        <v>52</v>
      </c>
      <c r="J334">
        <v>1765746</v>
      </c>
      <c r="K334" t="s">
        <v>23</v>
      </c>
      <c r="L334" t="s">
        <v>18</v>
      </c>
    </row>
    <row r="335" spans="1:12" x14ac:dyDescent="0.25">
      <c r="A335" t="s">
        <v>410</v>
      </c>
      <c r="B335" s="1">
        <v>45395</v>
      </c>
      <c r="C335" t="s">
        <v>3</v>
      </c>
      <c r="D335" t="s">
        <v>59</v>
      </c>
      <c r="E335" t="s">
        <v>32</v>
      </c>
      <c r="F335" t="s">
        <v>122</v>
      </c>
      <c r="G335">
        <v>8</v>
      </c>
      <c r="H335">
        <v>138090</v>
      </c>
      <c r="I335" t="s">
        <v>48</v>
      </c>
      <c r="J335">
        <v>1104720</v>
      </c>
      <c r="K335" t="s">
        <v>24</v>
      </c>
      <c r="L335" t="s">
        <v>18</v>
      </c>
    </row>
    <row r="336" spans="1:12" x14ac:dyDescent="0.25">
      <c r="A336" t="s">
        <v>411</v>
      </c>
      <c r="B336" s="1">
        <v>45330</v>
      </c>
      <c r="C336" t="s">
        <v>4</v>
      </c>
      <c r="D336" t="s">
        <v>93</v>
      </c>
      <c r="E336" t="s">
        <v>29</v>
      </c>
      <c r="F336" t="s">
        <v>51</v>
      </c>
      <c r="G336">
        <v>19</v>
      </c>
      <c r="H336">
        <v>44157</v>
      </c>
      <c r="I336" t="s">
        <v>48</v>
      </c>
      <c r="J336">
        <v>838983</v>
      </c>
      <c r="K336" t="s">
        <v>24</v>
      </c>
      <c r="L336" t="s">
        <v>19</v>
      </c>
    </row>
    <row r="337" spans="1:12" x14ac:dyDescent="0.25">
      <c r="A337" t="s">
        <v>412</v>
      </c>
      <c r="B337" s="1">
        <v>45425</v>
      </c>
      <c r="C337" t="s">
        <v>3</v>
      </c>
      <c r="D337" t="s">
        <v>67</v>
      </c>
      <c r="E337" t="s">
        <v>32</v>
      </c>
      <c r="F337" t="s">
        <v>122</v>
      </c>
      <c r="G337">
        <v>3</v>
      </c>
      <c r="H337">
        <v>99646</v>
      </c>
      <c r="I337" t="s">
        <v>52</v>
      </c>
      <c r="J337">
        <v>269044.2</v>
      </c>
      <c r="K337" t="s">
        <v>21</v>
      </c>
      <c r="L337" t="s">
        <v>19</v>
      </c>
    </row>
    <row r="338" spans="1:12" x14ac:dyDescent="0.25">
      <c r="A338" t="s">
        <v>413</v>
      </c>
      <c r="B338" s="1">
        <v>45470</v>
      </c>
      <c r="C338" t="s">
        <v>3</v>
      </c>
      <c r="D338" t="s">
        <v>59</v>
      </c>
      <c r="E338" t="s">
        <v>32</v>
      </c>
      <c r="F338" t="s">
        <v>87</v>
      </c>
      <c r="G338">
        <v>8</v>
      </c>
      <c r="H338">
        <v>83910</v>
      </c>
      <c r="I338" t="s">
        <v>48</v>
      </c>
      <c r="J338">
        <v>671280</v>
      </c>
      <c r="K338" t="s">
        <v>23</v>
      </c>
      <c r="L338" t="s">
        <v>20</v>
      </c>
    </row>
    <row r="339" spans="1:12" x14ac:dyDescent="0.25">
      <c r="A339" t="s">
        <v>414</v>
      </c>
      <c r="B339" s="1">
        <v>45402</v>
      </c>
      <c r="C339" t="s">
        <v>3</v>
      </c>
      <c r="D339" t="s">
        <v>69</v>
      </c>
      <c r="E339" t="s">
        <v>29</v>
      </c>
      <c r="F339" t="s">
        <v>47</v>
      </c>
      <c r="G339">
        <v>1</v>
      </c>
      <c r="H339">
        <v>62379</v>
      </c>
      <c r="I339" t="s">
        <v>60</v>
      </c>
      <c r="J339">
        <v>59260.05</v>
      </c>
      <c r="K339" t="s">
        <v>23</v>
      </c>
      <c r="L339" t="s">
        <v>18</v>
      </c>
    </row>
    <row r="340" spans="1:12" x14ac:dyDescent="0.25">
      <c r="A340" t="s">
        <v>415</v>
      </c>
      <c r="B340" s="1">
        <v>45522</v>
      </c>
      <c r="C340" t="s">
        <v>3</v>
      </c>
      <c r="D340" t="s">
        <v>59</v>
      </c>
      <c r="E340" t="s">
        <v>29</v>
      </c>
      <c r="F340" t="s">
        <v>89</v>
      </c>
      <c r="G340">
        <v>4</v>
      </c>
      <c r="H340">
        <v>54356</v>
      </c>
      <c r="I340" t="s">
        <v>48</v>
      </c>
      <c r="J340">
        <v>217424</v>
      </c>
      <c r="K340" t="s">
        <v>25</v>
      </c>
      <c r="L340" t="s">
        <v>18</v>
      </c>
    </row>
    <row r="341" spans="1:12" x14ac:dyDescent="0.25">
      <c r="A341" t="s">
        <v>416</v>
      </c>
      <c r="B341" s="1">
        <v>45329</v>
      </c>
      <c r="C341" t="s">
        <v>4</v>
      </c>
      <c r="D341" t="s">
        <v>57</v>
      </c>
      <c r="E341" t="s">
        <v>29</v>
      </c>
      <c r="F341" t="s">
        <v>55</v>
      </c>
      <c r="G341">
        <v>1</v>
      </c>
      <c r="H341">
        <v>47028</v>
      </c>
      <c r="I341" t="s">
        <v>48</v>
      </c>
      <c r="J341">
        <v>47028</v>
      </c>
      <c r="K341" t="s">
        <v>24</v>
      </c>
      <c r="L341" t="s">
        <v>19</v>
      </c>
    </row>
    <row r="342" spans="1:12" x14ac:dyDescent="0.25">
      <c r="A342" t="s">
        <v>417</v>
      </c>
      <c r="B342" s="1">
        <v>45580</v>
      </c>
      <c r="C342" t="s">
        <v>4</v>
      </c>
      <c r="D342" t="s">
        <v>93</v>
      </c>
      <c r="E342" t="s">
        <v>31</v>
      </c>
      <c r="F342" t="s">
        <v>65</v>
      </c>
      <c r="G342">
        <v>4</v>
      </c>
      <c r="H342">
        <v>22029</v>
      </c>
      <c r="I342" t="s">
        <v>60</v>
      </c>
      <c r="J342">
        <v>83710.2</v>
      </c>
      <c r="K342" t="s">
        <v>28</v>
      </c>
      <c r="L342" t="s">
        <v>20</v>
      </c>
    </row>
    <row r="343" spans="1:12" x14ac:dyDescent="0.25">
      <c r="A343" t="s">
        <v>418</v>
      </c>
      <c r="B343" s="1">
        <v>45613</v>
      </c>
      <c r="C343" t="s">
        <v>3</v>
      </c>
      <c r="D343" t="s">
        <v>67</v>
      </c>
      <c r="E343" t="s">
        <v>29</v>
      </c>
      <c r="F343" t="s">
        <v>72</v>
      </c>
      <c r="G343">
        <v>10</v>
      </c>
      <c r="H343">
        <v>105916</v>
      </c>
      <c r="I343" t="s">
        <v>52</v>
      </c>
      <c r="J343">
        <v>953244</v>
      </c>
      <c r="K343" t="s">
        <v>21</v>
      </c>
      <c r="L343" t="s">
        <v>19</v>
      </c>
    </row>
    <row r="344" spans="1:12" x14ac:dyDescent="0.25">
      <c r="A344" t="s">
        <v>419</v>
      </c>
      <c r="B344" s="1">
        <v>45414</v>
      </c>
      <c r="C344" t="s">
        <v>3</v>
      </c>
      <c r="D344" t="s">
        <v>69</v>
      </c>
      <c r="E344" t="s">
        <v>29</v>
      </c>
      <c r="F344" t="s">
        <v>47</v>
      </c>
      <c r="G344">
        <v>10</v>
      </c>
      <c r="H344">
        <v>49197</v>
      </c>
      <c r="I344" t="s">
        <v>48</v>
      </c>
      <c r="J344">
        <v>491970</v>
      </c>
      <c r="K344" t="s">
        <v>21</v>
      </c>
      <c r="L344" t="s">
        <v>20</v>
      </c>
    </row>
    <row r="345" spans="1:12" x14ac:dyDescent="0.25">
      <c r="A345" t="s">
        <v>420</v>
      </c>
      <c r="B345" s="1">
        <v>45585</v>
      </c>
      <c r="C345" t="s">
        <v>2</v>
      </c>
      <c r="D345" t="s">
        <v>54</v>
      </c>
      <c r="E345" t="s">
        <v>31</v>
      </c>
      <c r="F345" t="s">
        <v>98</v>
      </c>
      <c r="G345">
        <v>13</v>
      </c>
      <c r="H345">
        <v>74907</v>
      </c>
      <c r="I345" t="s">
        <v>52</v>
      </c>
      <c r="J345">
        <v>876411.9</v>
      </c>
      <c r="K345" t="s">
        <v>22</v>
      </c>
      <c r="L345" t="s">
        <v>18</v>
      </c>
    </row>
    <row r="346" spans="1:12" x14ac:dyDescent="0.25">
      <c r="A346" t="s">
        <v>421</v>
      </c>
      <c r="B346" s="1">
        <v>45656</v>
      </c>
      <c r="C346" t="s">
        <v>4</v>
      </c>
      <c r="D346" t="s">
        <v>50</v>
      </c>
      <c r="E346" t="s">
        <v>31</v>
      </c>
      <c r="F346" t="s">
        <v>98</v>
      </c>
      <c r="G346">
        <v>24</v>
      </c>
      <c r="H346">
        <v>67435</v>
      </c>
      <c r="I346" t="s">
        <v>60</v>
      </c>
      <c r="J346">
        <v>1537518</v>
      </c>
      <c r="K346" t="s">
        <v>24</v>
      </c>
      <c r="L346" t="s">
        <v>18</v>
      </c>
    </row>
    <row r="347" spans="1:12" x14ac:dyDescent="0.25">
      <c r="A347" t="s">
        <v>422</v>
      </c>
      <c r="B347" s="1">
        <v>45475</v>
      </c>
      <c r="C347" t="s">
        <v>4</v>
      </c>
      <c r="D347" t="s">
        <v>50</v>
      </c>
      <c r="E347" t="s">
        <v>32</v>
      </c>
      <c r="F347" t="s">
        <v>70</v>
      </c>
      <c r="G347">
        <v>15</v>
      </c>
      <c r="H347">
        <v>23103</v>
      </c>
      <c r="I347" t="s">
        <v>52</v>
      </c>
      <c r="J347">
        <v>311890.5</v>
      </c>
      <c r="K347" t="s">
        <v>28</v>
      </c>
      <c r="L347" t="s">
        <v>19</v>
      </c>
    </row>
    <row r="348" spans="1:12" x14ac:dyDescent="0.25">
      <c r="A348" t="s">
        <v>423</v>
      </c>
      <c r="B348" s="1">
        <v>45552</v>
      </c>
      <c r="C348" t="s">
        <v>3</v>
      </c>
      <c r="D348" t="s">
        <v>69</v>
      </c>
      <c r="E348" t="s">
        <v>29</v>
      </c>
      <c r="F348" t="s">
        <v>51</v>
      </c>
      <c r="G348">
        <v>15</v>
      </c>
      <c r="H348">
        <v>87291</v>
      </c>
      <c r="I348" t="s">
        <v>48</v>
      </c>
      <c r="J348">
        <v>1309365</v>
      </c>
      <c r="K348" t="s">
        <v>28</v>
      </c>
      <c r="L348" t="s">
        <v>20</v>
      </c>
    </row>
    <row r="349" spans="1:12" x14ac:dyDescent="0.25">
      <c r="A349" t="s">
        <v>424</v>
      </c>
      <c r="B349" s="1">
        <v>45623</v>
      </c>
      <c r="C349" t="s">
        <v>2</v>
      </c>
      <c r="D349" t="s">
        <v>46</v>
      </c>
      <c r="E349" t="s">
        <v>32</v>
      </c>
      <c r="F349" t="s">
        <v>109</v>
      </c>
      <c r="G349">
        <v>13</v>
      </c>
      <c r="H349">
        <v>23609</v>
      </c>
      <c r="I349" t="s">
        <v>60</v>
      </c>
      <c r="J349">
        <v>291571.15000000002</v>
      </c>
      <c r="K349" t="s">
        <v>25</v>
      </c>
      <c r="L349" t="s">
        <v>18</v>
      </c>
    </row>
    <row r="350" spans="1:12" x14ac:dyDescent="0.25">
      <c r="A350" t="s">
        <v>425</v>
      </c>
      <c r="B350" s="1">
        <v>45386</v>
      </c>
      <c r="C350" t="s">
        <v>2</v>
      </c>
      <c r="D350" t="s">
        <v>54</v>
      </c>
      <c r="E350" t="s">
        <v>29</v>
      </c>
      <c r="F350" t="s">
        <v>72</v>
      </c>
      <c r="G350">
        <v>19</v>
      </c>
      <c r="H350">
        <v>78683</v>
      </c>
      <c r="I350" t="s">
        <v>60</v>
      </c>
      <c r="J350">
        <v>1420228.15</v>
      </c>
      <c r="K350" t="s">
        <v>25</v>
      </c>
      <c r="L350" t="s">
        <v>20</v>
      </c>
    </row>
    <row r="351" spans="1:12" x14ac:dyDescent="0.25">
      <c r="A351" t="s">
        <v>426</v>
      </c>
      <c r="B351" s="1">
        <v>45583</v>
      </c>
      <c r="C351" t="s">
        <v>2</v>
      </c>
      <c r="D351" t="s">
        <v>54</v>
      </c>
      <c r="E351" t="s">
        <v>31</v>
      </c>
      <c r="F351" t="s">
        <v>80</v>
      </c>
      <c r="G351">
        <v>11</v>
      </c>
      <c r="H351">
        <v>133330</v>
      </c>
      <c r="I351" t="s">
        <v>52</v>
      </c>
      <c r="J351">
        <v>1319967</v>
      </c>
      <c r="K351" t="s">
        <v>23</v>
      </c>
      <c r="L351" t="s">
        <v>18</v>
      </c>
    </row>
    <row r="352" spans="1:12" x14ac:dyDescent="0.25">
      <c r="A352" t="s">
        <v>427</v>
      </c>
      <c r="B352" s="1">
        <v>45360</v>
      </c>
      <c r="C352" t="s">
        <v>3</v>
      </c>
      <c r="D352" t="s">
        <v>69</v>
      </c>
      <c r="E352" t="s">
        <v>30</v>
      </c>
      <c r="F352" t="s">
        <v>112</v>
      </c>
      <c r="G352">
        <v>20</v>
      </c>
      <c r="H352">
        <v>80834</v>
      </c>
      <c r="I352" t="s">
        <v>48</v>
      </c>
      <c r="J352">
        <v>1616680</v>
      </c>
      <c r="K352" t="s">
        <v>21</v>
      </c>
      <c r="L352" t="s">
        <v>20</v>
      </c>
    </row>
    <row r="353" spans="1:12" x14ac:dyDescent="0.25">
      <c r="A353" t="s">
        <v>428</v>
      </c>
      <c r="B353" s="1">
        <v>45545</v>
      </c>
      <c r="C353" t="s">
        <v>4</v>
      </c>
      <c r="D353" t="s">
        <v>57</v>
      </c>
      <c r="E353" t="s">
        <v>29</v>
      </c>
      <c r="F353" t="s">
        <v>51</v>
      </c>
      <c r="G353">
        <v>10</v>
      </c>
      <c r="H353">
        <v>79325</v>
      </c>
      <c r="I353" t="s">
        <v>48</v>
      </c>
      <c r="J353">
        <v>793250</v>
      </c>
      <c r="K353" t="s">
        <v>21</v>
      </c>
      <c r="L353" t="s">
        <v>19</v>
      </c>
    </row>
    <row r="354" spans="1:12" x14ac:dyDescent="0.25">
      <c r="A354" t="s">
        <v>429</v>
      </c>
      <c r="B354" s="1">
        <v>45425</v>
      </c>
      <c r="C354" t="s">
        <v>4</v>
      </c>
      <c r="D354" t="s">
        <v>93</v>
      </c>
      <c r="E354" t="s">
        <v>32</v>
      </c>
      <c r="F354" t="s">
        <v>70</v>
      </c>
      <c r="G354">
        <v>8</v>
      </c>
      <c r="H354">
        <v>58318</v>
      </c>
      <c r="I354" t="s">
        <v>52</v>
      </c>
      <c r="J354">
        <v>419889.6</v>
      </c>
      <c r="K354" t="s">
        <v>22</v>
      </c>
      <c r="L354" t="s">
        <v>18</v>
      </c>
    </row>
    <row r="355" spans="1:12" x14ac:dyDescent="0.25">
      <c r="A355" t="s">
        <v>430</v>
      </c>
      <c r="B355" s="1">
        <v>45594</v>
      </c>
      <c r="C355" t="s">
        <v>3</v>
      </c>
      <c r="D355" t="s">
        <v>69</v>
      </c>
      <c r="E355" t="s">
        <v>32</v>
      </c>
      <c r="F355" t="s">
        <v>87</v>
      </c>
      <c r="G355">
        <v>14</v>
      </c>
      <c r="H355">
        <v>93474</v>
      </c>
      <c r="I355" t="s">
        <v>52</v>
      </c>
      <c r="J355">
        <v>1177772.3999999999</v>
      </c>
      <c r="K355" t="s">
        <v>24</v>
      </c>
      <c r="L355" t="s">
        <v>20</v>
      </c>
    </row>
    <row r="356" spans="1:12" x14ac:dyDescent="0.25">
      <c r="A356" t="s">
        <v>431</v>
      </c>
      <c r="B356" s="1">
        <v>45509</v>
      </c>
      <c r="C356" t="s">
        <v>2</v>
      </c>
      <c r="D356" t="s">
        <v>54</v>
      </c>
      <c r="E356" t="s">
        <v>30</v>
      </c>
      <c r="F356" t="s">
        <v>91</v>
      </c>
      <c r="G356">
        <v>13</v>
      </c>
      <c r="H356">
        <v>76319</v>
      </c>
      <c r="I356" t="s">
        <v>48</v>
      </c>
      <c r="J356">
        <v>992147</v>
      </c>
      <c r="K356" t="s">
        <v>25</v>
      </c>
      <c r="L356" t="s">
        <v>20</v>
      </c>
    </row>
    <row r="357" spans="1:12" x14ac:dyDescent="0.25">
      <c r="A357" t="s">
        <v>432</v>
      </c>
      <c r="B357" s="1">
        <v>45501</v>
      </c>
      <c r="C357" t="s">
        <v>4</v>
      </c>
      <c r="D357" t="s">
        <v>93</v>
      </c>
      <c r="E357" t="s">
        <v>32</v>
      </c>
      <c r="F357" t="s">
        <v>87</v>
      </c>
      <c r="G357">
        <v>1</v>
      </c>
      <c r="H357">
        <v>94751</v>
      </c>
      <c r="I357" t="s">
        <v>48</v>
      </c>
      <c r="J357">
        <v>94751</v>
      </c>
      <c r="K357" t="s">
        <v>25</v>
      </c>
      <c r="L357" t="s">
        <v>18</v>
      </c>
    </row>
    <row r="358" spans="1:12" x14ac:dyDescent="0.25">
      <c r="A358" t="s">
        <v>433</v>
      </c>
      <c r="B358" s="1">
        <v>45607</v>
      </c>
      <c r="C358" t="s">
        <v>3</v>
      </c>
      <c r="D358" t="s">
        <v>59</v>
      </c>
      <c r="E358" t="s">
        <v>30</v>
      </c>
      <c r="F358" t="s">
        <v>124</v>
      </c>
      <c r="G358">
        <v>11</v>
      </c>
      <c r="H358">
        <v>40219</v>
      </c>
      <c r="I358" t="s">
        <v>60</v>
      </c>
      <c r="J358">
        <v>420288.55</v>
      </c>
      <c r="K358" t="s">
        <v>21</v>
      </c>
      <c r="L358" t="s">
        <v>18</v>
      </c>
    </row>
    <row r="359" spans="1:12" x14ac:dyDescent="0.25">
      <c r="A359" t="s">
        <v>434</v>
      </c>
      <c r="B359" s="1">
        <v>45615</v>
      </c>
      <c r="C359" t="s">
        <v>4</v>
      </c>
      <c r="D359" t="s">
        <v>93</v>
      </c>
      <c r="E359" t="s">
        <v>30</v>
      </c>
      <c r="F359" t="s">
        <v>85</v>
      </c>
      <c r="G359">
        <v>5</v>
      </c>
      <c r="H359">
        <v>63279</v>
      </c>
      <c r="I359" t="s">
        <v>60</v>
      </c>
      <c r="J359">
        <v>300575.25</v>
      </c>
      <c r="K359" t="s">
        <v>28</v>
      </c>
      <c r="L359" t="s">
        <v>18</v>
      </c>
    </row>
    <row r="360" spans="1:12" x14ac:dyDescent="0.25">
      <c r="A360" t="s">
        <v>435</v>
      </c>
      <c r="B360" s="1">
        <v>45584</v>
      </c>
      <c r="C360" t="s">
        <v>4</v>
      </c>
      <c r="D360" t="s">
        <v>50</v>
      </c>
      <c r="E360" t="s">
        <v>32</v>
      </c>
      <c r="F360" t="s">
        <v>96</v>
      </c>
      <c r="G360">
        <v>8</v>
      </c>
      <c r="H360">
        <v>3126</v>
      </c>
      <c r="I360" t="s">
        <v>48</v>
      </c>
      <c r="J360">
        <v>25008</v>
      </c>
      <c r="K360" t="s">
        <v>26</v>
      </c>
      <c r="L360" t="s">
        <v>18</v>
      </c>
    </row>
    <row r="361" spans="1:12" x14ac:dyDescent="0.25">
      <c r="A361" t="s">
        <v>436</v>
      </c>
      <c r="B361" s="1">
        <v>45397</v>
      </c>
      <c r="C361" t="s">
        <v>3</v>
      </c>
      <c r="D361" t="s">
        <v>69</v>
      </c>
      <c r="E361" t="s">
        <v>31</v>
      </c>
      <c r="F361" t="s">
        <v>106</v>
      </c>
      <c r="G361">
        <v>17</v>
      </c>
      <c r="H361">
        <v>112945</v>
      </c>
      <c r="I361" t="s">
        <v>52</v>
      </c>
      <c r="J361">
        <v>1728058.5</v>
      </c>
      <c r="K361" t="s">
        <v>26</v>
      </c>
      <c r="L361" t="s">
        <v>19</v>
      </c>
    </row>
    <row r="362" spans="1:12" x14ac:dyDescent="0.25">
      <c r="A362" t="s">
        <v>437</v>
      </c>
      <c r="B362" s="1">
        <v>45342</v>
      </c>
      <c r="C362" t="s">
        <v>3</v>
      </c>
      <c r="D362" t="s">
        <v>67</v>
      </c>
      <c r="E362" t="s">
        <v>31</v>
      </c>
      <c r="F362" t="s">
        <v>65</v>
      </c>
      <c r="G362">
        <v>14</v>
      </c>
      <c r="H362">
        <v>137869</v>
      </c>
      <c r="I362" t="s">
        <v>60</v>
      </c>
      <c r="J362">
        <v>1833657.7</v>
      </c>
      <c r="K362" t="s">
        <v>24</v>
      </c>
      <c r="L362" t="s">
        <v>18</v>
      </c>
    </row>
    <row r="363" spans="1:12" x14ac:dyDescent="0.25">
      <c r="A363" t="s">
        <v>438</v>
      </c>
      <c r="B363" s="1">
        <v>45558</v>
      </c>
      <c r="C363" t="s">
        <v>3</v>
      </c>
      <c r="D363" t="s">
        <v>59</v>
      </c>
      <c r="E363" t="s">
        <v>30</v>
      </c>
      <c r="F363" t="s">
        <v>124</v>
      </c>
      <c r="G363">
        <v>23</v>
      </c>
      <c r="H363">
        <v>37560</v>
      </c>
      <c r="I363" t="s">
        <v>48</v>
      </c>
      <c r="J363">
        <v>863880</v>
      </c>
      <c r="K363" t="s">
        <v>23</v>
      </c>
      <c r="L363" t="s">
        <v>19</v>
      </c>
    </row>
    <row r="364" spans="1:12" x14ac:dyDescent="0.25">
      <c r="A364" t="s">
        <v>439</v>
      </c>
      <c r="B364" s="1">
        <v>45593</v>
      </c>
      <c r="C364" t="s">
        <v>4</v>
      </c>
      <c r="D364" t="s">
        <v>93</v>
      </c>
      <c r="E364" t="s">
        <v>31</v>
      </c>
      <c r="F364" t="s">
        <v>75</v>
      </c>
      <c r="G364">
        <v>5</v>
      </c>
      <c r="H364">
        <v>135717</v>
      </c>
      <c r="I364" t="s">
        <v>60</v>
      </c>
      <c r="J364">
        <v>644655.75</v>
      </c>
      <c r="K364" t="s">
        <v>23</v>
      </c>
      <c r="L364" t="s">
        <v>19</v>
      </c>
    </row>
    <row r="365" spans="1:12" x14ac:dyDescent="0.25">
      <c r="A365" t="s">
        <v>440</v>
      </c>
      <c r="B365" s="1">
        <v>45473</v>
      </c>
      <c r="C365" t="s">
        <v>2</v>
      </c>
      <c r="D365" t="s">
        <v>54</v>
      </c>
      <c r="E365" t="s">
        <v>29</v>
      </c>
      <c r="F365" t="s">
        <v>51</v>
      </c>
      <c r="G365">
        <v>23</v>
      </c>
      <c r="H365">
        <v>22256</v>
      </c>
      <c r="I365" t="s">
        <v>52</v>
      </c>
      <c r="J365">
        <v>460699.2</v>
      </c>
      <c r="K365" t="s">
        <v>25</v>
      </c>
      <c r="L365" t="s">
        <v>20</v>
      </c>
    </row>
    <row r="366" spans="1:12" x14ac:dyDescent="0.25">
      <c r="A366" t="s">
        <v>441</v>
      </c>
      <c r="B366" s="1">
        <v>45292</v>
      </c>
      <c r="C366" t="s">
        <v>3</v>
      </c>
      <c r="D366" t="s">
        <v>69</v>
      </c>
      <c r="E366" t="s">
        <v>29</v>
      </c>
      <c r="F366" t="s">
        <v>55</v>
      </c>
      <c r="G366">
        <v>22</v>
      </c>
      <c r="H366">
        <v>122719</v>
      </c>
      <c r="I366" t="s">
        <v>52</v>
      </c>
      <c r="J366">
        <v>2429836.2000000002</v>
      </c>
      <c r="K366" t="s">
        <v>28</v>
      </c>
      <c r="L366" t="s">
        <v>20</v>
      </c>
    </row>
    <row r="367" spans="1:12" x14ac:dyDescent="0.25">
      <c r="A367" t="s">
        <v>442</v>
      </c>
      <c r="B367" s="1">
        <v>45440</v>
      </c>
      <c r="C367" t="s">
        <v>2</v>
      </c>
      <c r="D367" t="s">
        <v>62</v>
      </c>
      <c r="E367" t="s">
        <v>29</v>
      </c>
      <c r="F367" t="s">
        <v>47</v>
      </c>
      <c r="G367">
        <v>15</v>
      </c>
      <c r="H367">
        <v>59264</v>
      </c>
      <c r="I367" t="s">
        <v>52</v>
      </c>
      <c r="J367">
        <v>800064</v>
      </c>
      <c r="K367" t="s">
        <v>22</v>
      </c>
      <c r="L367" t="s">
        <v>20</v>
      </c>
    </row>
    <row r="368" spans="1:12" x14ac:dyDescent="0.25">
      <c r="A368" t="s">
        <v>443</v>
      </c>
      <c r="B368" s="1">
        <v>45600</v>
      </c>
      <c r="C368" t="s">
        <v>2</v>
      </c>
      <c r="D368" t="s">
        <v>46</v>
      </c>
      <c r="E368" t="s">
        <v>32</v>
      </c>
      <c r="F368" t="s">
        <v>87</v>
      </c>
      <c r="G368">
        <v>9</v>
      </c>
      <c r="H368">
        <v>60545</v>
      </c>
      <c r="I368" t="s">
        <v>60</v>
      </c>
      <c r="J368">
        <v>517659.75</v>
      </c>
      <c r="K368" t="s">
        <v>28</v>
      </c>
      <c r="L368" t="s">
        <v>19</v>
      </c>
    </row>
    <row r="369" spans="1:12" x14ac:dyDescent="0.25">
      <c r="A369" t="s">
        <v>444</v>
      </c>
      <c r="B369" s="1">
        <v>45604</v>
      </c>
      <c r="C369" t="s">
        <v>3</v>
      </c>
      <c r="D369" t="s">
        <v>69</v>
      </c>
      <c r="E369" t="s">
        <v>30</v>
      </c>
      <c r="F369" t="s">
        <v>112</v>
      </c>
      <c r="G369">
        <v>21</v>
      </c>
      <c r="H369">
        <v>100945</v>
      </c>
      <c r="I369" t="s">
        <v>60</v>
      </c>
      <c r="J369">
        <v>2013852.75</v>
      </c>
      <c r="K369" t="s">
        <v>22</v>
      </c>
      <c r="L369" t="s">
        <v>19</v>
      </c>
    </row>
    <row r="370" spans="1:12" x14ac:dyDescent="0.25">
      <c r="A370" t="s">
        <v>445</v>
      </c>
      <c r="B370" s="1">
        <v>45582</v>
      </c>
      <c r="C370" t="s">
        <v>4</v>
      </c>
      <c r="D370" t="s">
        <v>57</v>
      </c>
      <c r="E370" t="s">
        <v>29</v>
      </c>
      <c r="F370" t="s">
        <v>55</v>
      </c>
      <c r="G370">
        <v>20</v>
      </c>
      <c r="H370">
        <v>142649</v>
      </c>
      <c r="I370" t="s">
        <v>60</v>
      </c>
      <c r="J370">
        <v>2710331</v>
      </c>
      <c r="K370" t="s">
        <v>23</v>
      </c>
      <c r="L370" t="s">
        <v>19</v>
      </c>
    </row>
    <row r="371" spans="1:12" x14ac:dyDescent="0.25">
      <c r="A371" t="s">
        <v>446</v>
      </c>
      <c r="B371" s="1">
        <v>45501</v>
      </c>
      <c r="C371" t="s">
        <v>4</v>
      </c>
      <c r="D371" t="s">
        <v>50</v>
      </c>
      <c r="E371" t="s">
        <v>30</v>
      </c>
      <c r="F371" t="s">
        <v>85</v>
      </c>
      <c r="G371">
        <v>2</v>
      </c>
      <c r="H371">
        <v>39368</v>
      </c>
      <c r="I371" t="s">
        <v>48</v>
      </c>
      <c r="J371">
        <v>78736</v>
      </c>
      <c r="K371" t="s">
        <v>28</v>
      </c>
      <c r="L371" t="s">
        <v>20</v>
      </c>
    </row>
    <row r="372" spans="1:12" x14ac:dyDescent="0.25">
      <c r="A372" t="s">
        <v>447</v>
      </c>
      <c r="B372" s="1">
        <v>45419</v>
      </c>
      <c r="C372" t="s">
        <v>3</v>
      </c>
      <c r="D372" t="s">
        <v>67</v>
      </c>
      <c r="E372" t="s">
        <v>31</v>
      </c>
      <c r="F372" t="s">
        <v>80</v>
      </c>
      <c r="G372">
        <v>11</v>
      </c>
      <c r="H372">
        <v>44914</v>
      </c>
      <c r="I372" t="s">
        <v>48</v>
      </c>
      <c r="J372">
        <v>494054</v>
      </c>
      <c r="K372" t="s">
        <v>27</v>
      </c>
      <c r="L372" t="s">
        <v>19</v>
      </c>
    </row>
    <row r="373" spans="1:12" x14ac:dyDescent="0.25">
      <c r="A373" t="s">
        <v>448</v>
      </c>
      <c r="B373" s="1">
        <v>45655</v>
      </c>
      <c r="C373" t="s">
        <v>4</v>
      </c>
      <c r="D373" t="s">
        <v>57</v>
      </c>
      <c r="E373" t="s">
        <v>32</v>
      </c>
      <c r="F373" t="s">
        <v>96</v>
      </c>
      <c r="G373">
        <v>19</v>
      </c>
      <c r="H373">
        <v>70526</v>
      </c>
      <c r="I373" t="s">
        <v>48</v>
      </c>
      <c r="J373">
        <v>1339994</v>
      </c>
      <c r="K373" t="s">
        <v>21</v>
      </c>
      <c r="L373" t="s">
        <v>19</v>
      </c>
    </row>
    <row r="374" spans="1:12" x14ac:dyDescent="0.25">
      <c r="A374" t="s">
        <v>449</v>
      </c>
      <c r="B374" s="1">
        <v>45471</v>
      </c>
      <c r="C374" t="s">
        <v>4</v>
      </c>
      <c r="D374" t="s">
        <v>93</v>
      </c>
      <c r="E374" t="s">
        <v>31</v>
      </c>
      <c r="F374" t="s">
        <v>65</v>
      </c>
      <c r="G374">
        <v>6</v>
      </c>
      <c r="H374">
        <v>22956</v>
      </c>
      <c r="I374" t="s">
        <v>60</v>
      </c>
      <c r="J374">
        <v>130849.2</v>
      </c>
      <c r="K374" t="s">
        <v>27</v>
      </c>
      <c r="L374" t="s">
        <v>18</v>
      </c>
    </row>
    <row r="375" spans="1:12" x14ac:dyDescent="0.25">
      <c r="A375" t="s">
        <v>450</v>
      </c>
      <c r="B375" s="1">
        <v>45635</v>
      </c>
      <c r="C375" t="s">
        <v>4</v>
      </c>
      <c r="D375" t="s">
        <v>57</v>
      </c>
      <c r="E375" t="s">
        <v>31</v>
      </c>
      <c r="F375" t="s">
        <v>106</v>
      </c>
      <c r="G375">
        <v>1</v>
      </c>
      <c r="H375">
        <v>124008</v>
      </c>
      <c r="I375" t="s">
        <v>52</v>
      </c>
      <c r="J375">
        <v>111607.2</v>
      </c>
      <c r="K375" t="s">
        <v>22</v>
      </c>
      <c r="L375" t="s">
        <v>20</v>
      </c>
    </row>
    <row r="376" spans="1:12" x14ac:dyDescent="0.25">
      <c r="A376" t="s">
        <v>451</v>
      </c>
      <c r="B376" s="1">
        <v>45576</v>
      </c>
      <c r="C376" t="s">
        <v>3</v>
      </c>
      <c r="D376" t="s">
        <v>59</v>
      </c>
      <c r="E376" t="s">
        <v>32</v>
      </c>
      <c r="F376" t="s">
        <v>109</v>
      </c>
      <c r="G376">
        <v>11</v>
      </c>
      <c r="H376">
        <v>7757</v>
      </c>
      <c r="I376" t="s">
        <v>60</v>
      </c>
      <c r="J376">
        <v>81060.649999999994</v>
      </c>
      <c r="K376" t="s">
        <v>21</v>
      </c>
      <c r="L376" t="s">
        <v>19</v>
      </c>
    </row>
    <row r="377" spans="1:12" x14ac:dyDescent="0.25">
      <c r="A377" t="s">
        <v>452</v>
      </c>
      <c r="B377" s="1">
        <v>45445</v>
      </c>
      <c r="C377" t="s">
        <v>3</v>
      </c>
      <c r="D377" t="s">
        <v>59</v>
      </c>
      <c r="E377" t="s">
        <v>30</v>
      </c>
      <c r="F377" t="s">
        <v>112</v>
      </c>
      <c r="G377">
        <v>18</v>
      </c>
      <c r="H377">
        <v>106892</v>
      </c>
      <c r="I377" t="s">
        <v>60</v>
      </c>
      <c r="J377">
        <v>1827853.2</v>
      </c>
      <c r="K377" t="s">
        <v>21</v>
      </c>
      <c r="L377" t="s">
        <v>19</v>
      </c>
    </row>
    <row r="378" spans="1:12" x14ac:dyDescent="0.25">
      <c r="A378" t="s">
        <v>453</v>
      </c>
      <c r="B378" s="1">
        <v>45340</v>
      </c>
      <c r="C378" t="s">
        <v>3</v>
      </c>
      <c r="D378" t="s">
        <v>69</v>
      </c>
      <c r="E378" t="s">
        <v>30</v>
      </c>
      <c r="F378" t="s">
        <v>112</v>
      </c>
      <c r="G378">
        <v>7</v>
      </c>
      <c r="H378">
        <v>73480</v>
      </c>
      <c r="I378" t="s">
        <v>48</v>
      </c>
      <c r="J378">
        <v>514360</v>
      </c>
      <c r="K378" t="s">
        <v>25</v>
      </c>
      <c r="L378" t="s">
        <v>20</v>
      </c>
    </row>
    <row r="379" spans="1:12" x14ac:dyDescent="0.25">
      <c r="A379" t="s">
        <v>454</v>
      </c>
      <c r="B379" s="1">
        <v>45375</v>
      </c>
      <c r="C379" t="s">
        <v>2</v>
      </c>
      <c r="D379" t="s">
        <v>54</v>
      </c>
      <c r="E379" t="s">
        <v>29</v>
      </c>
      <c r="F379" t="s">
        <v>55</v>
      </c>
      <c r="G379">
        <v>9</v>
      </c>
      <c r="H379">
        <v>55853</v>
      </c>
      <c r="I379" t="s">
        <v>48</v>
      </c>
      <c r="J379">
        <v>502677</v>
      </c>
      <c r="K379" t="s">
        <v>28</v>
      </c>
      <c r="L379" t="s">
        <v>19</v>
      </c>
    </row>
    <row r="380" spans="1:12" x14ac:dyDescent="0.25">
      <c r="A380" t="s">
        <v>455</v>
      </c>
      <c r="B380" s="1">
        <v>45633</v>
      </c>
      <c r="C380" t="s">
        <v>2</v>
      </c>
      <c r="D380" t="s">
        <v>46</v>
      </c>
      <c r="E380" t="s">
        <v>30</v>
      </c>
      <c r="F380" t="s">
        <v>85</v>
      </c>
      <c r="G380">
        <v>8</v>
      </c>
      <c r="H380">
        <v>4759</v>
      </c>
      <c r="I380" t="s">
        <v>48</v>
      </c>
      <c r="J380">
        <v>38072</v>
      </c>
      <c r="K380" t="s">
        <v>28</v>
      </c>
      <c r="L380" t="s">
        <v>18</v>
      </c>
    </row>
    <row r="381" spans="1:12" x14ac:dyDescent="0.25">
      <c r="A381" t="s">
        <v>456</v>
      </c>
      <c r="B381" s="1">
        <v>45432</v>
      </c>
      <c r="C381" t="s">
        <v>4</v>
      </c>
      <c r="D381" t="s">
        <v>57</v>
      </c>
      <c r="E381" t="s">
        <v>31</v>
      </c>
      <c r="F381" t="s">
        <v>80</v>
      </c>
      <c r="G381">
        <v>23</v>
      </c>
      <c r="H381">
        <v>136554</v>
      </c>
      <c r="I381" t="s">
        <v>60</v>
      </c>
      <c r="J381">
        <v>2983704.9</v>
      </c>
      <c r="K381" t="s">
        <v>27</v>
      </c>
      <c r="L381" t="s">
        <v>19</v>
      </c>
    </row>
    <row r="382" spans="1:12" x14ac:dyDescent="0.25">
      <c r="A382" t="s">
        <v>457</v>
      </c>
      <c r="B382" s="1">
        <v>45502</v>
      </c>
      <c r="C382" t="s">
        <v>3</v>
      </c>
      <c r="D382" t="s">
        <v>59</v>
      </c>
      <c r="E382" t="s">
        <v>31</v>
      </c>
      <c r="F382" t="s">
        <v>75</v>
      </c>
      <c r="G382">
        <v>17</v>
      </c>
      <c r="H382">
        <v>93397</v>
      </c>
      <c r="I382" t="s">
        <v>48</v>
      </c>
      <c r="J382">
        <v>1587749</v>
      </c>
      <c r="K382" t="s">
        <v>27</v>
      </c>
      <c r="L382" t="s">
        <v>19</v>
      </c>
    </row>
    <row r="383" spans="1:12" x14ac:dyDescent="0.25">
      <c r="A383" t="s">
        <v>458</v>
      </c>
      <c r="B383" s="1">
        <v>45435</v>
      </c>
      <c r="C383" t="s">
        <v>2</v>
      </c>
      <c r="D383" t="s">
        <v>54</v>
      </c>
      <c r="E383" t="s">
        <v>31</v>
      </c>
      <c r="F383" t="s">
        <v>98</v>
      </c>
      <c r="G383">
        <v>8</v>
      </c>
      <c r="H383">
        <v>67077</v>
      </c>
      <c r="I383" t="s">
        <v>60</v>
      </c>
      <c r="J383">
        <v>509785.2</v>
      </c>
      <c r="K383" t="s">
        <v>26</v>
      </c>
      <c r="L383" t="s">
        <v>18</v>
      </c>
    </row>
    <row r="384" spans="1:12" x14ac:dyDescent="0.25">
      <c r="A384" t="s">
        <v>459</v>
      </c>
      <c r="B384" s="1">
        <v>45466</v>
      </c>
      <c r="C384" t="s">
        <v>2</v>
      </c>
      <c r="D384" t="s">
        <v>62</v>
      </c>
      <c r="E384" t="s">
        <v>29</v>
      </c>
      <c r="F384" t="s">
        <v>47</v>
      </c>
      <c r="G384">
        <v>18</v>
      </c>
      <c r="H384">
        <v>140717</v>
      </c>
      <c r="I384" t="s">
        <v>60</v>
      </c>
      <c r="J384">
        <v>2406260.7000000002</v>
      </c>
      <c r="K384" t="s">
        <v>28</v>
      </c>
      <c r="L384" t="s">
        <v>18</v>
      </c>
    </row>
    <row r="385" spans="1:12" x14ac:dyDescent="0.25">
      <c r="A385" t="s">
        <v>460</v>
      </c>
      <c r="B385" s="1">
        <v>45404</v>
      </c>
      <c r="C385" t="s">
        <v>4</v>
      </c>
      <c r="D385" t="s">
        <v>50</v>
      </c>
      <c r="E385" t="s">
        <v>30</v>
      </c>
      <c r="F385" t="s">
        <v>63</v>
      </c>
      <c r="G385">
        <v>18</v>
      </c>
      <c r="H385">
        <v>14485</v>
      </c>
      <c r="I385" t="s">
        <v>48</v>
      </c>
      <c r="J385">
        <v>260730</v>
      </c>
      <c r="K385" t="s">
        <v>25</v>
      </c>
      <c r="L385" t="s">
        <v>20</v>
      </c>
    </row>
    <row r="386" spans="1:12" x14ac:dyDescent="0.25">
      <c r="A386" t="s">
        <v>461</v>
      </c>
      <c r="B386" s="1">
        <v>45457</v>
      </c>
      <c r="C386" t="s">
        <v>3</v>
      </c>
      <c r="D386" t="s">
        <v>59</v>
      </c>
      <c r="E386" t="s">
        <v>29</v>
      </c>
      <c r="F386" t="s">
        <v>47</v>
      </c>
      <c r="G386">
        <v>19</v>
      </c>
      <c r="H386">
        <v>122614</v>
      </c>
      <c r="I386" t="s">
        <v>48</v>
      </c>
      <c r="J386">
        <v>2329666</v>
      </c>
      <c r="K386" t="s">
        <v>21</v>
      </c>
      <c r="L386" t="s">
        <v>20</v>
      </c>
    </row>
    <row r="387" spans="1:12" x14ac:dyDescent="0.25">
      <c r="A387" t="s">
        <v>462</v>
      </c>
      <c r="B387" s="1">
        <v>45423</v>
      </c>
      <c r="C387" t="s">
        <v>2</v>
      </c>
      <c r="D387" t="s">
        <v>46</v>
      </c>
      <c r="E387" t="s">
        <v>30</v>
      </c>
      <c r="F387" t="s">
        <v>63</v>
      </c>
      <c r="G387">
        <v>1</v>
      </c>
      <c r="H387">
        <v>55487</v>
      </c>
      <c r="I387" t="s">
        <v>60</v>
      </c>
      <c r="J387">
        <v>52712.65</v>
      </c>
      <c r="K387" t="s">
        <v>21</v>
      </c>
      <c r="L387" t="s">
        <v>20</v>
      </c>
    </row>
    <row r="388" spans="1:12" x14ac:dyDescent="0.25">
      <c r="A388" t="s">
        <v>463</v>
      </c>
      <c r="B388" s="1">
        <v>45346</v>
      </c>
      <c r="C388" t="s">
        <v>2</v>
      </c>
      <c r="D388" t="s">
        <v>54</v>
      </c>
      <c r="E388" t="s">
        <v>30</v>
      </c>
      <c r="F388" t="s">
        <v>112</v>
      </c>
      <c r="G388">
        <v>7</v>
      </c>
      <c r="H388">
        <v>51770</v>
      </c>
      <c r="I388" t="s">
        <v>48</v>
      </c>
      <c r="J388">
        <v>362390</v>
      </c>
      <c r="K388" t="s">
        <v>25</v>
      </c>
      <c r="L388" t="s">
        <v>18</v>
      </c>
    </row>
    <row r="389" spans="1:12" x14ac:dyDescent="0.25">
      <c r="A389" t="s">
        <v>464</v>
      </c>
      <c r="B389" s="1">
        <v>45579</v>
      </c>
      <c r="C389" t="s">
        <v>4</v>
      </c>
      <c r="D389" t="s">
        <v>93</v>
      </c>
      <c r="E389" t="s">
        <v>31</v>
      </c>
      <c r="F389" t="s">
        <v>106</v>
      </c>
      <c r="G389">
        <v>10</v>
      </c>
      <c r="H389">
        <v>134026</v>
      </c>
      <c r="I389" t="s">
        <v>52</v>
      </c>
      <c r="J389">
        <v>1206234</v>
      </c>
      <c r="K389" t="s">
        <v>24</v>
      </c>
      <c r="L389" t="s">
        <v>18</v>
      </c>
    </row>
    <row r="390" spans="1:12" x14ac:dyDescent="0.25">
      <c r="A390" t="s">
        <v>465</v>
      </c>
      <c r="B390" s="1">
        <v>45453</v>
      </c>
      <c r="C390" t="s">
        <v>3</v>
      </c>
      <c r="D390" t="s">
        <v>69</v>
      </c>
      <c r="E390" t="s">
        <v>31</v>
      </c>
      <c r="F390" t="s">
        <v>65</v>
      </c>
      <c r="G390">
        <v>1</v>
      </c>
      <c r="H390">
        <v>108947</v>
      </c>
      <c r="I390" t="s">
        <v>48</v>
      </c>
      <c r="J390">
        <v>108947</v>
      </c>
      <c r="K390" t="s">
        <v>25</v>
      </c>
      <c r="L390" t="s">
        <v>18</v>
      </c>
    </row>
    <row r="391" spans="1:12" x14ac:dyDescent="0.25">
      <c r="A391" t="s">
        <v>466</v>
      </c>
      <c r="B391" s="1">
        <v>45579</v>
      </c>
      <c r="C391" t="s">
        <v>3</v>
      </c>
      <c r="D391" t="s">
        <v>59</v>
      </c>
      <c r="E391" t="s">
        <v>29</v>
      </c>
      <c r="F391" t="s">
        <v>72</v>
      </c>
      <c r="G391">
        <v>18</v>
      </c>
      <c r="H391">
        <v>112575</v>
      </c>
      <c r="I391" t="s">
        <v>60</v>
      </c>
      <c r="J391">
        <v>1925032.5</v>
      </c>
      <c r="K391" t="s">
        <v>23</v>
      </c>
      <c r="L391" t="s">
        <v>18</v>
      </c>
    </row>
    <row r="392" spans="1:12" x14ac:dyDescent="0.25">
      <c r="A392" t="s">
        <v>467</v>
      </c>
      <c r="B392" s="1">
        <v>45612</v>
      </c>
      <c r="C392" t="s">
        <v>3</v>
      </c>
      <c r="D392" t="s">
        <v>67</v>
      </c>
      <c r="E392" t="s">
        <v>29</v>
      </c>
      <c r="F392" t="s">
        <v>47</v>
      </c>
      <c r="G392">
        <v>23</v>
      </c>
      <c r="H392">
        <v>33678</v>
      </c>
      <c r="I392" t="s">
        <v>60</v>
      </c>
      <c r="J392">
        <v>735864.3</v>
      </c>
      <c r="K392" t="s">
        <v>28</v>
      </c>
      <c r="L392" t="s">
        <v>20</v>
      </c>
    </row>
    <row r="393" spans="1:12" x14ac:dyDescent="0.25">
      <c r="A393" t="s">
        <v>468</v>
      </c>
      <c r="B393" s="1">
        <v>45546</v>
      </c>
      <c r="C393" t="s">
        <v>3</v>
      </c>
      <c r="D393" t="s">
        <v>69</v>
      </c>
      <c r="E393" t="s">
        <v>30</v>
      </c>
      <c r="F393" t="s">
        <v>91</v>
      </c>
      <c r="G393">
        <v>8</v>
      </c>
      <c r="H393">
        <v>75258</v>
      </c>
      <c r="I393" t="s">
        <v>60</v>
      </c>
      <c r="J393">
        <v>571960.80000000005</v>
      </c>
      <c r="K393" t="s">
        <v>27</v>
      </c>
      <c r="L393" t="s">
        <v>18</v>
      </c>
    </row>
    <row r="394" spans="1:12" x14ac:dyDescent="0.25">
      <c r="A394" t="s">
        <v>469</v>
      </c>
      <c r="B394" s="1">
        <v>45342</v>
      </c>
      <c r="C394" t="s">
        <v>3</v>
      </c>
      <c r="D394" t="s">
        <v>69</v>
      </c>
      <c r="E394" t="s">
        <v>30</v>
      </c>
      <c r="F394" t="s">
        <v>91</v>
      </c>
      <c r="G394">
        <v>1</v>
      </c>
      <c r="H394">
        <v>88595</v>
      </c>
      <c r="I394" t="s">
        <v>60</v>
      </c>
      <c r="J394">
        <v>84165.25</v>
      </c>
      <c r="K394" t="s">
        <v>21</v>
      </c>
      <c r="L394" t="s">
        <v>20</v>
      </c>
    </row>
    <row r="395" spans="1:12" x14ac:dyDescent="0.25">
      <c r="A395" t="s">
        <v>470</v>
      </c>
      <c r="B395" s="1">
        <v>45555</v>
      </c>
      <c r="C395" t="s">
        <v>3</v>
      </c>
      <c r="D395" t="s">
        <v>59</v>
      </c>
      <c r="E395" t="s">
        <v>30</v>
      </c>
      <c r="F395" t="s">
        <v>112</v>
      </c>
      <c r="G395">
        <v>2</v>
      </c>
      <c r="H395">
        <v>76506</v>
      </c>
      <c r="I395" t="s">
        <v>48</v>
      </c>
      <c r="J395">
        <v>153012</v>
      </c>
      <c r="K395" t="s">
        <v>24</v>
      </c>
      <c r="L395" t="s">
        <v>20</v>
      </c>
    </row>
    <row r="396" spans="1:12" x14ac:dyDescent="0.25">
      <c r="A396" t="s">
        <v>471</v>
      </c>
      <c r="B396" s="1">
        <v>45387</v>
      </c>
      <c r="C396" t="s">
        <v>3</v>
      </c>
      <c r="D396" t="s">
        <v>67</v>
      </c>
      <c r="E396" t="s">
        <v>29</v>
      </c>
      <c r="F396" t="s">
        <v>55</v>
      </c>
      <c r="G396">
        <v>24</v>
      </c>
      <c r="H396">
        <v>116453</v>
      </c>
      <c r="I396" t="s">
        <v>52</v>
      </c>
      <c r="J396">
        <v>2515384.7999999998</v>
      </c>
      <c r="K396" t="s">
        <v>27</v>
      </c>
      <c r="L396" t="s">
        <v>19</v>
      </c>
    </row>
    <row r="397" spans="1:12" x14ac:dyDescent="0.25">
      <c r="A397" t="s">
        <v>472</v>
      </c>
      <c r="B397" s="1">
        <v>45456</v>
      </c>
      <c r="C397" t="s">
        <v>2</v>
      </c>
      <c r="D397" t="s">
        <v>62</v>
      </c>
      <c r="E397" t="s">
        <v>29</v>
      </c>
      <c r="F397" t="s">
        <v>47</v>
      </c>
      <c r="G397">
        <v>22</v>
      </c>
      <c r="H397">
        <v>124300</v>
      </c>
      <c r="I397" t="s">
        <v>52</v>
      </c>
      <c r="J397">
        <v>2461140</v>
      </c>
      <c r="K397" t="s">
        <v>24</v>
      </c>
      <c r="L397" t="s">
        <v>18</v>
      </c>
    </row>
    <row r="398" spans="1:12" x14ac:dyDescent="0.25">
      <c r="A398" t="s">
        <v>473</v>
      </c>
      <c r="B398" s="1">
        <v>45514</v>
      </c>
      <c r="C398" t="s">
        <v>4</v>
      </c>
      <c r="D398" t="s">
        <v>93</v>
      </c>
      <c r="E398" t="s">
        <v>29</v>
      </c>
      <c r="F398" t="s">
        <v>89</v>
      </c>
      <c r="G398">
        <v>23</v>
      </c>
      <c r="H398">
        <v>50057</v>
      </c>
      <c r="I398" t="s">
        <v>60</v>
      </c>
      <c r="J398">
        <v>1093745.45</v>
      </c>
      <c r="K398" t="s">
        <v>24</v>
      </c>
      <c r="L398" t="s">
        <v>19</v>
      </c>
    </row>
    <row r="399" spans="1:12" x14ac:dyDescent="0.25">
      <c r="A399" t="s">
        <v>474</v>
      </c>
      <c r="B399" s="1">
        <v>45298</v>
      </c>
      <c r="C399" t="s">
        <v>3</v>
      </c>
      <c r="D399" t="s">
        <v>67</v>
      </c>
      <c r="E399" t="s">
        <v>29</v>
      </c>
      <c r="F399" t="s">
        <v>89</v>
      </c>
      <c r="G399">
        <v>10</v>
      </c>
      <c r="H399">
        <v>19032</v>
      </c>
      <c r="I399" t="s">
        <v>52</v>
      </c>
      <c r="J399">
        <v>171288</v>
      </c>
      <c r="K399" t="s">
        <v>23</v>
      </c>
      <c r="L399" t="s">
        <v>18</v>
      </c>
    </row>
    <row r="400" spans="1:12" x14ac:dyDescent="0.25">
      <c r="A400" t="s">
        <v>475</v>
      </c>
      <c r="B400" s="1">
        <v>45442</v>
      </c>
      <c r="C400" t="s">
        <v>2</v>
      </c>
      <c r="D400" t="s">
        <v>46</v>
      </c>
      <c r="E400" t="s">
        <v>30</v>
      </c>
      <c r="F400" t="s">
        <v>85</v>
      </c>
      <c r="G400">
        <v>21</v>
      </c>
      <c r="H400">
        <v>147931</v>
      </c>
      <c r="I400" t="s">
        <v>52</v>
      </c>
      <c r="J400">
        <v>2795895.9</v>
      </c>
      <c r="K400" t="s">
        <v>25</v>
      </c>
      <c r="L400" t="s">
        <v>18</v>
      </c>
    </row>
    <row r="401" spans="1:12" x14ac:dyDescent="0.25">
      <c r="A401" t="s">
        <v>476</v>
      </c>
      <c r="B401" s="1">
        <v>45576</v>
      </c>
      <c r="C401" t="s">
        <v>4</v>
      </c>
      <c r="D401" t="s">
        <v>50</v>
      </c>
      <c r="E401" t="s">
        <v>32</v>
      </c>
      <c r="F401" t="s">
        <v>109</v>
      </c>
      <c r="G401">
        <v>18</v>
      </c>
      <c r="H401">
        <v>142777</v>
      </c>
      <c r="I401" t="s">
        <v>48</v>
      </c>
      <c r="J401">
        <v>2569986</v>
      </c>
      <c r="K401" t="s">
        <v>25</v>
      </c>
      <c r="L401" t="s">
        <v>19</v>
      </c>
    </row>
    <row r="402" spans="1:12" x14ac:dyDescent="0.25">
      <c r="A402" t="s">
        <v>477</v>
      </c>
      <c r="B402" s="1">
        <v>45594</v>
      </c>
      <c r="C402" t="s">
        <v>2</v>
      </c>
      <c r="D402" t="s">
        <v>62</v>
      </c>
      <c r="E402" t="s">
        <v>30</v>
      </c>
      <c r="F402" t="s">
        <v>91</v>
      </c>
      <c r="G402">
        <v>5</v>
      </c>
      <c r="H402">
        <v>90955</v>
      </c>
      <c r="I402" t="s">
        <v>48</v>
      </c>
      <c r="J402">
        <v>454775</v>
      </c>
      <c r="K402" t="s">
        <v>28</v>
      </c>
      <c r="L402" t="s">
        <v>20</v>
      </c>
    </row>
    <row r="403" spans="1:12" x14ac:dyDescent="0.25">
      <c r="A403" t="s">
        <v>478</v>
      </c>
      <c r="B403" s="1">
        <v>45302</v>
      </c>
      <c r="C403" t="s">
        <v>3</v>
      </c>
      <c r="D403" t="s">
        <v>67</v>
      </c>
      <c r="E403" t="s">
        <v>32</v>
      </c>
      <c r="F403" t="s">
        <v>109</v>
      </c>
      <c r="G403">
        <v>10</v>
      </c>
      <c r="H403">
        <v>149430</v>
      </c>
      <c r="I403" t="s">
        <v>48</v>
      </c>
      <c r="J403">
        <v>1494300</v>
      </c>
      <c r="K403" t="s">
        <v>23</v>
      </c>
      <c r="L403" t="s">
        <v>20</v>
      </c>
    </row>
    <row r="404" spans="1:12" x14ac:dyDescent="0.25">
      <c r="A404" t="s">
        <v>479</v>
      </c>
      <c r="B404" s="1">
        <v>45486</v>
      </c>
      <c r="C404" t="s">
        <v>4</v>
      </c>
      <c r="D404" t="s">
        <v>93</v>
      </c>
      <c r="E404" t="s">
        <v>29</v>
      </c>
      <c r="F404" t="s">
        <v>72</v>
      </c>
      <c r="G404">
        <v>23</v>
      </c>
      <c r="H404">
        <v>119243</v>
      </c>
      <c r="I404" t="s">
        <v>52</v>
      </c>
      <c r="J404">
        <v>2468330.1</v>
      </c>
      <c r="K404" t="s">
        <v>23</v>
      </c>
      <c r="L404" t="s">
        <v>19</v>
      </c>
    </row>
    <row r="405" spans="1:12" x14ac:dyDescent="0.25">
      <c r="A405" t="s">
        <v>480</v>
      </c>
      <c r="B405" s="1">
        <v>45552</v>
      </c>
      <c r="C405" t="s">
        <v>2</v>
      </c>
      <c r="D405" t="s">
        <v>46</v>
      </c>
      <c r="E405" t="s">
        <v>30</v>
      </c>
      <c r="F405" t="s">
        <v>124</v>
      </c>
      <c r="G405">
        <v>5</v>
      </c>
      <c r="H405">
        <v>135351</v>
      </c>
      <c r="I405" t="s">
        <v>52</v>
      </c>
      <c r="J405">
        <v>609079.5</v>
      </c>
      <c r="K405" t="s">
        <v>28</v>
      </c>
      <c r="L405" t="s">
        <v>18</v>
      </c>
    </row>
    <row r="406" spans="1:12" x14ac:dyDescent="0.25">
      <c r="A406" t="s">
        <v>481</v>
      </c>
      <c r="B406" s="1">
        <v>45513</v>
      </c>
      <c r="C406" t="s">
        <v>2</v>
      </c>
      <c r="D406" t="s">
        <v>46</v>
      </c>
      <c r="E406" t="s">
        <v>30</v>
      </c>
      <c r="F406" t="s">
        <v>91</v>
      </c>
      <c r="G406">
        <v>9</v>
      </c>
      <c r="H406">
        <v>133273</v>
      </c>
      <c r="I406" t="s">
        <v>48</v>
      </c>
      <c r="J406">
        <v>1199457</v>
      </c>
      <c r="K406" t="s">
        <v>22</v>
      </c>
      <c r="L406" t="s">
        <v>18</v>
      </c>
    </row>
    <row r="407" spans="1:12" x14ac:dyDescent="0.25">
      <c r="A407" t="s">
        <v>482</v>
      </c>
      <c r="B407" s="1">
        <v>45344</v>
      </c>
      <c r="C407" t="s">
        <v>3</v>
      </c>
      <c r="D407" t="s">
        <v>69</v>
      </c>
      <c r="E407" t="s">
        <v>31</v>
      </c>
      <c r="F407" t="s">
        <v>75</v>
      </c>
      <c r="G407">
        <v>12</v>
      </c>
      <c r="H407">
        <v>123674</v>
      </c>
      <c r="I407" t="s">
        <v>52</v>
      </c>
      <c r="J407">
        <v>1335679.2</v>
      </c>
      <c r="K407" t="s">
        <v>28</v>
      </c>
      <c r="L407" t="s">
        <v>19</v>
      </c>
    </row>
    <row r="408" spans="1:12" x14ac:dyDescent="0.25">
      <c r="A408" t="s">
        <v>483</v>
      </c>
      <c r="B408" s="1">
        <v>45633</v>
      </c>
      <c r="C408" t="s">
        <v>4</v>
      </c>
      <c r="D408" t="s">
        <v>93</v>
      </c>
      <c r="E408" t="s">
        <v>29</v>
      </c>
      <c r="F408" t="s">
        <v>72</v>
      </c>
      <c r="G408">
        <v>12</v>
      </c>
      <c r="H408">
        <v>22063</v>
      </c>
      <c r="I408" t="s">
        <v>48</v>
      </c>
      <c r="J408">
        <v>264756</v>
      </c>
      <c r="K408" t="s">
        <v>26</v>
      </c>
      <c r="L408" t="s">
        <v>19</v>
      </c>
    </row>
    <row r="409" spans="1:12" x14ac:dyDescent="0.25">
      <c r="A409" t="s">
        <v>484</v>
      </c>
      <c r="B409" s="1">
        <v>45350</v>
      </c>
      <c r="C409" t="s">
        <v>2</v>
      </c>
      <c r="D409" t="s">
        <v>62</v>
      </c>
      <c r="E409" t="s">
        <v>30</v>
      </c>
      <c r="F409" t="s">
        <v>63</v>
      </c>
      <c r="G409">
        <v>14</v>
      </c>
      <c r="H409">
        <v>38954</v>
      </c>
      <c r="I409" t="s">
        <v>48</v>
      </c>
      <c r="J409">
        <v>545356</v>
      </c>
      <c r="K409" t="s">
        <v>28</v>
      </c>
      <c r="L409" t="s">
        <v>20</v>
      </c>
    </row>
    <row r="410" spans="1:12" x14ac:dyDescent="0.25">
      <c r="A410" t="s">
        <v>485</v>
      </c>
      <c r="B410" s="1">
        <v>45500</v>
      </c>
      <c r="C410" t="s">
        <v>4</v>
      </c>
      <c r="D410" t="s">
        <v>50</v>
      </c>
      <c r="E410" t="s">
        <v>31</v>
      </c>
      <c r="F410" t="s">
        <v>106</v>
      </c>
      <c r="G410">
        <v>14</v>
      </c>
      <c r="H410">
        <v>38367</v>
      </c>
      <c r="I410" t="s">
        <v>52</v>
      </c>
      <c r="J410">
        <v>483424.2</v>
      </c>
      <c r="K410" t="s">
        <v>28</v>
      </c>
      <c r="L410" t="s">
        <v>20</v>
      </c>
    </row>
    <row r="411" spans="1:12" x14ac:dyDescent="0.25">
      <c r="A411" t="s">
        <v>486</v>
      </c>
      <c r="B411" s="1">
        <v>45528</v>
      </c>
      <c r="C411" t="s">
        <v>4</v>
      </c>
      <c r="D411" t="s">
        <v>50</v>
      </c>
      <c r="E411" t="s">
        <v>31</v>
      </c>
      <c r="F411" t="s">
        <v>106</v>
      </c>
      <c r="G411">
        <v>7</v>
      </c>
      <c r="H411">
        <v>26752</v>
      </c>
      <c r="I411" t="s">
        <v>48</v>
      </c>
      <c r="J411">
        <v>187264</v>
      </c>
      <c r="K411" t="s">
        <v>25</v>
      </c>
      <c r="L411" t="s">
        <v>20</v>
      </c>
    </row>
    <row r="412" spans="1:12" x14ac:dyDescent="0.25">
      <c r="A412" t="s">
        <v>487</v>
      </c>
      <c r="B412" s="1">
        <v>45537</v>
      </c>
      <c r="C412" t="s">
        <v>2</v>
      </c>
      <c r="D412" t="s">
        <v>54</v>
      </c>
      <c r="E412" t="s">
        <v>32</v>
      </c>
      <c r="F412" t="s">
        <v>96</v>
      </c>
      <c r="G412">
        <v>22</v>
      </c>
      <c r="H412">
        <v>133282</v>
      </c>
      <c r="I412" t="s">
        <v>60</v>
      </c>
      <c r="J412">
        <v>2785593.8</v>
      </c>
      <c r="K412" t="s">
        <v>22</v>
      </c>
      <c r="L412" t="s">
        <v>18</v>
      </c>
    </row>
    <row r="413" spans="1:12" x14ac:dyDescent="0.25">
      <c r="A413" t="s">
        <v>488</v>
      </c>
      <c r="B413" s="1">
        <v>45295</v>
      </c>
      <c r="C413" t="s">
        <v>3</v>
      </c>
      <c r="D413" t="s">
        <v>67</v>
      </c>
      <c r="E413" t="s">
        <v>29</v>
      </c>
      <c r="F413" t="s">
        <v>51</v>
      </c>
      <c r="G413">
        <v>13</v>
      </c>
      <c r="H413">
        <v>129678</v>
      </c>
      <c r="I413" t="s">
        <v>52</v>
      </c>
      <c r="J413">
        <v>1517232.6</v>
      </c>
      <c r="K413" t="s">
        <v>23</v>
      </c>
      <c r="L413" t="s">
        <v>18</v>
      </c>
    </row>
    <row r="414" spans="1:12" x14ac:dyDescent="0.25">
      <c r="A414" t="s">
        <v>489</v>
      </c>
      <c r="B414" s="1">
        <v>45584</v>
      </c>
      <c r="C414" t="s">
        <v>4</v>
      </c>
      <c r="D414" t="s">
        <v>57</v>
      </c>
      <c r="E414" t="s">
        <v>30</v>
      </c>
      <c r="F414" t="s">
        <v>91</v>
      </c>
      <c r="G414">
        <v>11</v>
      </c>
      <c r="H414">
        <v>59133</v>
      </c>
      <c r="I414" t="s">
        <v>48</v>
      </c>
      <c r="J414">
        <v>650463</v>
      </c>
      <c r="K414" t="s">
        <v>25</v>
      </c>
      <c r="L414" t="s">
        <v>19</v>
      </c>
    </row>
    <row r="415" spans="1:12" x14ac:dyDescent="0.25">
      <c r="A415" t="s">
        <v>490</v>
      </c>
      <c r="B415" s="1">
        <v>45437</v>
      </c>
      <c r="C415" t="s">
        <v>4</v>
      </c>
      <c r="D415" t="s">
        <v>50</v>
      </c>
      <c r="E415" t="s">
        <v>29</v>
      </c>
      <c r="F415" t="s">
        <v>47</v>
      </c>
      <c r="G415">
        <v>21</v>
      </c>
      <c r="H415">
        <v>34653</v>
      </c>
      <c r="I415" t="s">
        <v>52</v>
      </c>
      <c r="J415">
        <v>654941.69999999995</v>
      </c>
      <c r="K415" t="s">
        <v>24</v>
      </c>
      <c r="L415" t="s">
        <v>20</v>
      </c>
    </row>
    <row r="416" spans="1:12" x14ac:dyDescent="0.25">
      <c r="A416" t="s">
        <v>491</v>
      </c>
      <c r="B416" s="1">
        <v>45325</v>
      </c>
      <c r="C416" t="s">
        <v>2</v>
      </c>
      <c r="D416" t="s">
        <v>54</v>
      </c>
      <c r="E416" t="s">
        <v>32</v>
      </c>
      <c r="F416" t="s">
        <v>70</v>
      </c>
      <c r="G416">
        <v>17</v>
      </c>
      <c r="H416">
        <v>124829</v>
      </c>
      <c r="I416" t="s">
        <v>52</v>
      </c>
      <c r="J416">
        <v>1909883.7</v>
      </c>
      <c r="K416" t="s">
        <v>24</v>
      </c>
      <c r="L416" t="s">
        <v>20</v>
      </c>
    </row>
    <row r="417" spans="1:12" x14ac:dyDescent="0.25">
      <c r="A417" t="s">
        <v>492</v>
      </c>
      <c r="B417" s="1">
        <v>45367</v>
      </c>
      <c r="C417" t="s">
        <v>2</v>
      </c>
      <c r="D417" t="s">
        <v>54</v>
      </c>
      <c r="E417" t="s">
        <v>31</v>
      </c>
      <c r="F417" t="s">
        <v>75</v>
      </c>
      <c r="G417">
        <v>23</v>
      </c>
      <c r="H417">
        <v>51756</v>
      </c>
      <c r="I417" t="s">
        <v>48</v>
      </c>
      <c r="J417">
        <v>1190388</v>
      </c>
      <c r="K417" t="s">
        <v>26</v>
      </c>
      <c r="L417" t="s">
        <v>18</v>
      </c>
    </row>
    <row r="418" spans="1:12" x14ac:dyDescent="0.25">
      <c r="A418" t="s">
        <v>493</v>
      </c>
      <c r="B418" s="1">
        <v>45653</v>
      </c>
      <c r="C418" t="s">
        <v>4</v>
      </c>
      <c r="D418" t="s">
        <v>50</v>
      </c>
      <c r="E418" t="s">
        <v>29</v>
      </c>
      <c r="F418" t="s">
        <v>89</v>
      </c>
      <c r="G418">
        <v>22</v>
      </c>
      <c r="H418">
        <v>54226</v>
      </c>
      <c r="I418" t="s">
        <v>60</v>
      </c>
      <c r="J418">
        <v>1133323.3999999999</v>
      </c>
      <c r="K418" t="s">
        <v>21</v>
      </c>
      <c r="L418" t="s">
        <v>19</v>
      </c>
    </row>
    <row r="419" spans="1:12" x14ac:dyDescent="0.25">
      <c r="A419" t="s">
        <v>494</v>
      </c>
      <c r="B419" s="1">
        <v>45604</v>
      </c>
      <c r="C419" t="s">
        <v>2</v>
      </c>
      <c r="D419" t="s">
        <v>54</v>
      </c>
      <c r="E419" t="s">
        <v>29</v>
      </c>
      <c r="F419" t="s">
        <v>72</v>
      </c>
      <c r="G419">
        <v>6</v>
      </c>
      <c r="H419">
        <v>32402</v>
      </c>
      <c r="I419" t="s">
        <v>52</v>
      </c>
      <c r="J419">
        <v>174970.8</v>
      </c>
      <c r="K419" t="s">
        <v>26</v>
      </c>
      <c r="L419" t="s">
        <v>19</v>
      </c>
    </row>
    <row r="420" spans="1:12" x14ac:dyDescent="0.25">
      <c r="A420" t="s">
        <v>495</v>
      </c>
      <c r="B420" s="1">
        <v>45459</v>
      </c>
      <c r="C420" t="s">
        <v>3</v>
      </c>
      <c r="D420" t="s">
        <v>59</v>
      </c>
      <c r="E420" t="s">
        <v>32</v>
      </c>
      <c r="F420" t="s">
        <v>96</v>
      </c>
      <c r="G420">
        <v>2</v>
      </c>
      <c r="H420">
        <v>50924</v>
      </c>
      <c r="I420" t="s">
        <v>48</v>
      </c>
      <c r="J420">
        <v>101848</v>
      </c>
      <c r="K420" t="s">
        <v>26</v>
      </c>
      <c r="L420" t="s">
        <v>20</v>
      </c>
    </row>
    <row r="421" spans="1:12" x14ac:dyDescent="0.25">
      <c r="A421" t="s">
        <v>496</v>
      </c>
      <c r="B421" s="1">
        <v>45464</v>
      </c>
      <c r="C421" t="s">
        <v>3</v>
      </c>
      <c r="D421" t="s">
        <v>69</v>
      </c>
      <c r="E421" t="s">
        <v>31</v>
      </c>
      <c r="F421" t="s">
        <v>106</v>
      </c>
      <c r="G421">
        <v>17</v>
      </c>
      <c r="H421">
        <v>38737</v>
      </c>
      <c r="I421" t="s">
        <v>60</v>
      </c>
      <c r="J421">
        <v>625602.55000000005</v>
      </c>
      <c r="K421" t="s">
        <v>27</v>
      </c>
      <c r="L421" t="s">
        <v>20</v>
      </c>
    </row>
    <row r="422" spans="1:12" x14ac:dyDescent="0.25">
      <c r="A422" t="s">
        <v>497</v>
      </c>
      <c r="B422" s="1">
        <v>45481</v>
      </c>
      <c r="C422" t="s">
        <v>4</v>
      </c>
      <c r="D422" t="s">
        <v>50</v>
      </c>
      <c r="E422" t="s">
        <v>32</v>
      </c>
      <c r="F422" t="s">
        <v>70</v>
      </c>
      <c r="G422">
        <v>14</v>
      </c>
      <c r="H422">
        <v>131575</v>
      </c>
      <c r="I422" t="s">
        <v>52</v>
      </c>
      <c r="J422">
        <v>1657845</v>
      </c>
      <c r="K422" t="s">
        <v>22</v>
      </c>
      <c r="L422" t="s">
        <v>20</v>
      </c>
    </row>
    <row r="423" spans="1:12" x14ac:dyDescent="0.25">
      <c r="A423" t="s">
        <v>498</v>
      </c>
      <c r="B423" s="1">
        <v>45421</v>
      </c>
      <c r="C423" t="s">
        <v>4</v>
      </c>
      <c r="D423" t="s">
        <v>57</v>
      </c>
      <c r="E423" t="s">
        <v>30</v>
      </c>
      <c r="F423" t="s">
        <v>124</v>
      </c>
      <c r="G423">
        <v>22</v>
      </c>
      <c r="H423">
        <v>24172</v>
      </c>
      <c r="I423" t="s">
        <v>48</v>
      </c>
      <c r="J423">
        <v>531784</v>
      </c>
      <c r="K423" t="s">
        <v>26</v>
      </c>
      <c r="L423" t="s">
        <v>19</v>
      </c>
    </row>
    <row r="424" spans="1:12" x14ac:dyDescent="0.25">
      <c r="A424" t="s">
        <v>499</v>
      </c>
      <c r="B424" s="1">
        <v>45583</v>
      </c>
      <c r="C424" t="s">
        <v>2</v>
      </c>
      <c r="D424" t="s">
        <v>62</v>
      </c>
      <c r="E424" t="s">
        <v>29</v>
      </c>
      <c r="F424" t="s">
        <v>89</v>
      </c>
      <c r="G424">
        <v>19</v>
      </c>
      <c r="H424">
        <v>56276</v>
      </c>
      <c r="I424" t="s">
        <v>52</v>
      </c>
      <c r="J424">
        <v>962319.6</v>
      </c>
      <c r="K424" t="s">
        <v>24</v>
      </c>
      <c r="L424" t="s">
        <v>18</v>
      </c>
    </row>
    <row r="425" spans="1:12" x14ac:dyDescent="0.25">
      <c r="A425" t="s">
        <v>500</v>
      </c>
      <c r="B425" s="1">
        <v>45440</v>
      </c>
      <c r="C425" t="s">
        <v>2</v>
      </c>
      <c r="D425" t="s">
        <v>46</v>
      </c>
      <c r="E425" t="s">
        <v>31</v>
      </c>
      <c r="F425" t="s">
        <v>75</v>
      </c>
      <c r="G425">
        <v>11</v>
      </c>
      <c r="H425">
        <v>92599</v>
      </c>
      <c r="I425" t="s">
        <v>60</v>
      </c>
      <c r="J425">
        <v>967659.55</v>
      </c>
      <c r="K425" t="s">
        <v>25</v>
      </c>
      <c r="L425" t="s">
        <v>20</v>
      </c>
    </row>
    <row r="426" spans="1:12" x14ac:dyDescent="0.25">
      <c r="A426" t="s">
        <v>501</v>
      </c>
      <c r="B426" s="1">
        <v>45455</v>
      </c>
      <c r="C426" t="s">
        <v>3</v>
      </c>
      <c r="D426" t="s">
        <v>69</v>
      </c>
      <c r="E426" t="s">
        <v>30</v>
      </c>
      <c r="F426" t="s">
        <v>63</v>
      </c>
      <c r="G426">
        <v>17</v>
      </c>
      <c r="H426">
        <v>14046</v>
      </c>
      <c r="I426" t="s">
        <v>52</v>
      </c>
      <c r="J426">
        <v>214903.8</v>
      </c>
      <c r="K426" t="s">
        <v>21</v>
      </c>
      <c r="L426" t="s">
        <v>20</v>
      </c>
    </row>
    <row r="427" spans="1:12" x14ac:dyDescent="0.25">
      <c r="A427" t="s">
        <v>502</v>
      </c>
      <c r="B427" s="1">
        <v>45523</v>
      </c>
      <c r="C427" t="s">
        <v>4</v>
      </c>
      <c r="D427" t="s">
        <v>57</v>
      </c>
      <c r="E427" t="s">
        <v>31</v>
      </c>
      <c r="F427" t="s">
        <v>75</v>
      </c>
      <c r="G427">
        <v>3</v>
      </c>
      <c r="H427">
        <v>119021</v>
      </c>
      <c r="I427" t="s">
        <v>60</v>
      </c>
      <c r="J427">
        <v>339209.85</v>
      </c>
      <c r="K427" t="s">
        <v>23</v>
      </c>
      <c r="L427" t="s">
        <v>20</v>
      </c>
    </row>
    <row r="428" spans="1:12" x14ac:dyDescent="0.25">
      <c r="A428" t="s">
        <v>503</v>
      </c>
      <c r="B428" s="1">
        <v>45389</v>
      </c>
      <c r="C428" t="s">
        <v>3</v>
      </c>
      <c r="D428" t="s">
        <v>69</v>
      </c>
      <c r="E428" t="s">
        <v>29</v>
      </c>
      <c r="F428" t="s">
        <v>51</v>
      </c>
      <c r="G428">
        <v>23</v>
      </c>
      <c r="H428">
        <v>7853</v>
      </c>
      <c r="I428" t="s">
        <v>52</v>
      </c>
      <c r="J428">
        <v>162557.1</v>
      </c>
      <c r="K428" t="s">
        <v>26</v>
      </c>
      <c r="L428" t="s">
        <v>20</v>
      </c>
    </row>
    <row r="429" spans="1:12" x14ac:dyDescent="0.25">
      <c r="A429" t="s">
        <v>504</v>
      </c>
      <c r="B429" s="1">
        <v>45360</v>
      </c>
      <c r="C429" t="s">
        <v>4</v>
      </c>
      <c r="D429" t="s">
        <v>50</v>
      </c>
      <c r="E429" t="s">
        <v>29</v>
      </c>
      <c r="F429" t="s">
        <v>55</v>
      </c>
      <c r="G429">
        <v>24</v>
      </c>
      <c r="H429">
        <v>62129</v>
      </c>
      <c r="I429" t="s">
        <v>48</v>
      </c>
      <c r="J429">
        <v>1491096</v>
      </c>
      <c r="K429" t="s">
        <v>25</v>
      </c>
      <c r="L429" t="s">
        <v>19</v>
      </c>
    </row>
    <row r="430" spans="1:12" x14ac:dyDescent="0.25">
      <c r="A430" t="s">
        <v>505</v>
      </c>
      <c r="B430" s="1">
        <v>45327</v>
      </c>
      <c r="C430" t="s">
        <v>3</v>
      </c>
      <c r="D430" t="s">
        <v>67</v>
      </c>
      <c r="E430" t="s">
        <v>30</v>
      </c>
      <c r="F430" t="s">
        <v>85</v>
      </c>
      <c r="G430">
        <v>15</v>
      </c>
      <c r="H430">
        <v>117130</v>
      </c>
      <c r="I430" t="s">
        <v>60</v>
      </c>
      <c r="J430">
        <v>1669102.5</v>
      </c>
      <c r="K430" t="s">
        <v>23</v>
      </c>
      <c r="L430" t="s">
        <v>20</v>
      </c>
    </row>
    <row r="431" spans="1:12" x14ac:dyDescent="0.25">
      <c r="A431" t="s">
        <v>506</v>
      </c>
      <c r="B431" s="1">
        <v>45518</v>
      </c>
      <c r="C431" t="s">
        <v>3</v>
      </c>
      <c r="D431" t="s">
        <v>69</v>
      </c>
      <c r="E431" t="s">
        <v>31</v>
      </c>
      <c r="F431" t="s">
        <v>65</v>
      </c>
      <c r="G431">
        <v>20</v>
      </c>
      <c r="H431">
        <v>149922</v>
      </c>
      <c r="I431" t="s">
        <v>48</v>
      </c>
      <c r="J431">
        <v>2998440</v>
      </c>
      <c r="K431" t="s">
        <v>25</v>
      </c>
      <c r="L431" t="s">
        <v>19</v>
      </c>
    </row>
    <row r="432" spans="1:12" x14ac:dyDescent="0.25">
      <c r="A432" t="s">
        <v>507</v>
      </c>
      <c r="B432" s="1">
        <v>45628</v>
      </c>
      <c r="C432" t="s">
        <v>2</v>
      </c>
      <c r="D432" t="s">
        <v>46</v>
      </c>
      <c r="E432" t="s">
        <v>31</v>
      </c>
      <c r="F432" t="s">
        <v>98</v>
      </c>
      <c r="G432">
        <v>13</v>
      </c>
      <c r="H432">
        <v>41890</v>
      </c>
      <c r="I432" t="s">
        <v>52</v>
      </c>
      <c r="J432">
        <v>490113</v>
      </c>
      <c r="K432" t="s">
        <v>23</v>
      </c>
      <c r="L432" t="s">
        <v>19</v>
      </c>
    </row>
    <row r="433" spans="1:12" x14ac:dyDescent="0.25">
      <c r="A433" t="s">
        <v>508</v>
      </c>
      <c r="B433" s="1">
        <v>45492</v>
      </c>
      <c r="C433" t="s">
        <v>2</v>
      </c>
      <c r="D433" t="s">
        <v>62</v>
      </c>
      <c r="E433" t="s">
        <v>32</v>
      </c>
      <c r="F433" t="s">
        <v>87</v>
      </c>
      <c r="G433">
        <v>2</v>
      </c>
      <c r="H433">
        <v>135596</v>
      </c>
      <c r="I433" t="s">
        <v>52</v>
      </c>
      <c r="J433">
        <v>244072.8</v>
      </c>
      <c r="K433" t="s">
        <v>24</v>
      </c>
      <c r="L433" t="s">
        <v>20</v>
      </c>
    </row>
    <row r="434" spans="1:12" x14ac:dyDescent="0.25">
      <c r="A434" t="s">
        <v>509</v>
      </c>
      <c r="B434" s="1">
        <v>45364</v>
      </c>
      <c r="C434" t="s">
        <v>2</v>
      </c>
      <c r="D434" t="s">
        <v>46</v>
      </c>
      <c r="E434" t="s">
        <v>29</v>
      </c>
      <c r="F434" t="s">
        <v>89</v>
      </c>
      <c r="G434">
        <v>9</v>
      </c>
      <c r="H434">
        <v>57912</v>
      </c>
      <c r="I434" t="s">
        <v>60</v>
      </c>
      <c r="J434">
        <v>495147.6</v>
      </c>
      <c r="K434" t="s">
        <v>23</v>
      </c>
      <c r="L434" t="s">
        <v>20</v>
      </c>
    </row>
    <row r="435" spans="1:12" x14ac:dyDescent="0.25">
      <c r="A435" t="s">
        <v>510</v>
      </c>
      <c r="B435" s="1">
        <v>45508</v>
      </c>
      <c r="C435" t="s">
        <v>2</v>
      </c>
      <c r="D435" t="s">
        <v>62</v>
      </c>
      <c r="E435" t="s">
        <v>31</v>
      </c>
      <c r="F435" t="s">
        <v>106</v>
      </c>
      <c r="G435">
        <v>11</v>
      </c>
      <c r="H435">
        <v>86559</v>
      </c>
      <c r="I435" t="s">
        <v>48</v>
      </c>
      <c r="J435">
        <v>952149</v>
      </c>
      <c r="K435" t="s">
        <v>27</v>
      </c>
      <c r="L435" t="s">
        <v>19</v>
      </c>
    </row>
    <row r="436" spans="1:12" x14ac:dyDescent="0.25">
      <c r="A436" t="s">
        <v>511</v>
      </c>
      <c r="B436" s="1">
        <v>45333</v>
      </c>
      <c r="C436" t="s">
        <v>2</v>
      </c>
      <c r="D436" t="s">
        <v>46</v>
      </c>
      <c r="E436" t="s">
        <v>30</v>
      </c>
      <c r="F436" t="s">
        <v>112</v>
      </c>
      <c r="G436">
        <v>7</v>
      </c>
      <c r="H436">
        <v>27354</v>
      </c>
      <c r="I436" t="s">
        <v>60</v>
      </c>
      <c r="J436">
        <v>181904.1</v>
      </c>
      <c r="K436" t="s">
        <v>24</v>
      </c>
      <c r="L436" t="s">
        <v>19</v>
      </c>
    </row>
    <row r="437" spans="1:12" x14ac:dyDescent="0.25">
      <c r="A437" t="s">
        <v>512</v>
      </c>
      <c r="B437" s="1">
        <v>45422</v>
      </c>
      <c r="C437" t="s">
        <v>2</v>
      </c>
      <c r="D437" t="s">
        <v>54</v>
      </c>
      <c r="E437" t="s">
        <v>30</v>
      </c>
      <c r="F437" t="s">
        <v>124</v>
      </c>
      <c r="G437">
        <v>18</v>
      </c>
      <c r="H437">
        <v>89123</v>
      </c>
      <c r="I437" t="s">
        <v>60</v>
      </c>
      <c r="J437">
        <v>1524003.3</v>
      </c>
      <c r="K437" t="s">
        <v>28</v>
      </c>
      <c r="L437" t="s">
        <v>20</v>
      </c>
    </row>
    <row r="438" spans="1:12" x14ac:dyDescent="0.25">
      <c r="A438" t="s">
        <v>513</v>
      </c>
      <c r="B438" s="1">
        <v>45463</v>
      </c>
      <c r="C438" t="s">
        <v>2</v>
      </c>
      <c r="D438" t="s">
        <v>62</v>
      </c>
      <c r="E438" t="s">
        <v>30</v>
      </c>
      <c r="F438" t="s">
        <v>85</v>
      </c>
      <c r="G438">
        <v>19</v>
      </c>
      <c r="H438">
        <v>23581</v>
      </c>
      <c r="I438" t="s">
        <v>60</v>
      </c>
      <c r="J438">
        <v>425637.05</v>
      </c>
      <c r="K438" t="s">
        <v>24</v>
      </c>
      <c r="L438" t="s">
        <v>20</v>
      </c>
    </row>
    <row r="439" spans="1:12" x14ac:dyDescent="0.25">
      <c r="A439" t="s">
        <v>514</v>
      </c>
      <c r="B439" s="1">
        <v>45645</v>
      </c>
      <c r="C439" t="s">
        <v>3</v>
      </c>
      <c r="D439" t="s">
        <v>67</v>
      </c>
      <c r="E439" t="s">
        <v>31</v>
      </c>
      <c r="F439" t="s">
        <v>65</v>
      </c>
      <c r="G439">
        <v>12</v>
      </c>
      <c r="H439">
        <v>54474</v>
      </c>
      <c r="I439" t="s">
        <v>60</v>
      </c>
      <c r="J439">
        <v>621003.6</v>
      </c>
      <c r="K439" t="s">
        <v>25</v>
      </c>
      <c r="L439" t="s">
        <v>18</v>
      </c>
    </row>
    <row r="440" spans="1:12" x14ac:dyDescent="0.25">
      <c r="A440" t="s">
        <v>515</v>
      </c>
      <c r="B440" s="1">
        <v>45392</v>
      </c>
      <c r="C440" t="s">
        <v>2</v>
      </c>
      <c r="D440" t="s">
        <v>46</v>
      </c>
      <c r="E440" t="s">
        <v>32</v>
      </c>
      <c r="F440" t="s">
        <v>109</v>
      </c>
      <c r="G440">
        <v>12</v>
      </c>
      <c r="H440">
        <v>72626</v>
      </c>
      <c r="I440" t="s">
        <v>52</v>
      </c>
      <c r="J440">
        <v>784360.8</v>
      </c>
      <c r="K440" t="s">
        <v>28</v>
      </c>
      <c r="L440" t="s">
        <v>20</v>
      </c>
    </row>
    <row r="441" spans="1:12" x14ac:dyDescent="0.25">
      <c r="A441" t="s">
        <v>516</v>
      </c>
      <c r="B441" s="1">
        <v>45596</v>
      </c>
      <c r="C441" t="s">
        <v>4</v>
      </c>
      <c r="D441" t="s">
        <v>57</v>
      </c>
      <c r="E441" t="s">
        <v>31</v>
      </c>
      <c r="F441" t="s">
        <v>65</v>
      </c>
      <c r="G441">
        <v>17</v>
      </c>
      <c r="H441">
        <v>39408</v>
      </c>
      <c r="I441" t="s">
        <v>48</v>
      </c>
      <c r="J441">
        <v>669936</v>
      </c>
      <c r="K441" t="s">
        <v>28</v>
      </c>
      <c r="L441" t="s">
        <v>19</v>
      </c>
    </row>
    <row r="442" spans="1:12" x14ac:dyDescent="0.25">
      <c r="A442" t="s">
        <v>517</v>
      </c>
      <c r="B442" s="1">
        <v>45602</v>
      </c>
      <c r="C442" t="s">
        <v>3</v>
      </c>
      <c r="D442" t="s">
        <v>67</v>
      </c>
      <c r="E442" t="s">
        <v>32</v>
      </c>
      <c r="F442" t="s">
        <v>109</v>
      </c>
      <c r="G442">
        <v>17</v>
      </c>
      <c r="H442">
        <v>60134</v>
      </c>
      <c r="I442" t="s">
        <v>60</v>
      </c>
      <c r="J442">
        <v>971164.1</v>
      </c>
      <c r="K442" t="s">
        <v>23</v>
      </c>
      <c r="L442" t="s">
        <v>20</v>
      </c>
    </row>
    <row r="443" spans="1:12" x14ac:dyDescent="0.25">
      <c r="A443" t="s">
        <v>518</v>
      </c>
      <c r="B443" s="1">
        <v>45303</v>
      </c>
      <c r="C443" t="s">
        <v>3</v>
      </c>
      <c r="D443" t="s">
        <v>59</v>
      </c>
      <c r="E443" t="s">
        <v>30</v>
      </c>
      <c r="F443" t="s">
        <v>91</v>
      </c>
      <c r="G443">
        <v>16</v>
      </c>
      <c r="H443">
        <v>93327</v>
      </c>
      <c r="I443" t="s">
        <v>60</v>
      </c>
      <c r="J443">
        <v>1418570.4</v>
      </c>
      <c r="K443" t="s">
        <v>21</v>
      </c>
      <c r="L443" t="s">
        <v>20</v>
      </c>
    </row>
    <row r="444" spans="1:12" x14ac:dyDescent="0.25">
      <c r="A444" t="s">
        <v>519</v>
      </c>
      <c r="B444" s="1">
        <v>45630</v>
      </c>
      <c r="C444" t="s">
        <v>3</v>
      </c>
      <c r="D444" t="s">
        <v>59</v>
      </c>
      <c r="E444" t="s">
        <v>29</v>
      </c>
      <c r="F444" t="s">
        <v>51</v>
      </c>
      <c r="G444">
        <v>8</v>
      </c>
      <c r="H444">
        <v>146326</v>
      </c>
      <c r="I444" t="s">
        <v>48</v>
      </c>
      <c r="J444">
        <v>1170608</v>
      </c>
      <c r="K444" t="s">
        <v>23</v>
      </c>
      <c r="L444" t="s">
        <v>19</v>
      </c>
    </row>
    <row r="445" spans="1:12" x14ac:dyDescent="0.25">
      <c r="A445" t="s">
        <v>520</v>
      </c>
      <c r="B445" s="1">
        <v>45440</v>
      </c>
      <c r="C445" t="s">
        <v>4</v>
      </c>
      <c r="D445" t="s">
        <v>57</v>
      </c>
      <c r="E445" t="s">
        <v>30</v>
      </c>
      <c r="F445" t="s">
        <v>63</v>
      </c>
      <c r="G445">
        <v>17</v>
      </c>
      <c r="H445">
        <v>135822</v>
      </c>
      <c r="I445" t="s">
        <v>48</v>
      </c>
      <c r="J445">
        <v>2308974</v>
      </c>
      <c r="K445" t="s">
        <v>28</v>
      </c>
      <c r="L445" t="s">
        <v>19</v>
      </c>
    </row>
    <row r="446" spans="1:12" x14ac:dyDescent="0.25">
      <c r="A446" t="s">
        <v>521</v>
      </c>
      <c r="B446" s="1">
        <v>45489</v>
      </c>
      <c r="C446" t="s">
        <v>4</v>
      </c>
      <c r="D446" t="s">
        <v>93</v>
      </c>
      <c r="E446" t="s">
        <v>31</v>
      </c>
      <c r="F446" t="s">
        <v>80</v>
      </c>
      <c r="G446">
        <v>8</v>
      </c>
      <c r="H446">
        <v>149968</v>
      </c>
      <c r="I446" t="s">
        <v>60</v>
      </c>
      <c r="J446">
        <v>1139756.8</v>
      </c>
      <c r="K446" t="s">
        <v>27</v>
      </c>
      <c r="L446" t="s">
        <v>19</v>
      </c>
    </row>
    <row r="447" spans="1:12" x14ac:dyDescent="0.25">
      <c r="A447" t="s">
        <v>522</v>
      </c>
      <c r="B447" s="1">
        <v>45380</v>
      </c>
      <c r="C447" t="s">
        <v>2</v>
      </c>
      <c r="D447" t="s">
        <v>54</v>
      </c>
      <c r="E447" t="s">
        <v>29</v>
      </c>
      <c r="F447" t="s">
        <v>72</v>
      </c>
      <c r="G447">
        <v>12</v>
      </c>
      <c r="H447">
        <v>80454</v>
      </c>
      <c r="I447" t="s">
        <v>60</v>
      </c>
      <c r="J447">
        <v>917175.6</v>
      </c>
      <c r="K447" t="s">
        <v>26</v>
      </c>
      <c r="L447" t="s">
        <v>18</v>
      </c>
    </row>
    <row r="448" spans="1:12" x14ac:dyDescent="0.25">
      <c r="A448" t="s">
        <v>523</v>
      </c>
      <c r="B448" s="1">
        <v>45350</v>
      </c>
      <c r="C448" t="s">
        <v>3</v>
      </c>
      <c r="D448" t="s">
        <v>69</v>
      </c>
      <c r="E448" t="s">
        <v>30</v>
      </c>
      <c r="F448" t="s">
        <v>124</v>
      </c>
      <c r="G448">
        <v>9</v>
      </c>
      <c r="H448">
        <v>125732</v>
      </c>
      <c r="I448" t="s">
        <v>48</v>
      </c>
      <c r="J448">
        <v>1131588</v>
      </c>
      <c r="K448" t="s">
        <v>23</v>
      </c>
      <c r="L448" t="s">
        <v>18</v>
      </c>
    </row>
    <row r="449" spans="1:12" x14ac:dyDescent="0.25">
      <c r="A449" t="s">
        <v>524</v>
      </c>
      <c r="B449" s="1">
        <v>45317</v>
      </c>
      <c r="C449" t="s">
        <v>3</v>
      </c>
      <c r="D449" t="s">
        <v>67</v>
      </c>
      <c r="E449" t="s">
        <v>31</v>
      </c>
      <c r="F449" t="s">
        <v>106</v>
      </c>
      <c r="G449">
        <v>15</v>
      </c>
      <c r="H449">
        <v>40641</v>
      </c>
      <c r="I449" t="s">
        <v>52</v>
      </c>
      <c r="J449">
        <v>548653.5</v>
      </c>
      <c r="K449" t="s">
        <v>24</v>
      </c>
      <c r="L449" t="s">
        <v>20</v>
      </c>
    </row>
    <row r="450" spans="1:12" x14ac:dyDescent="0.25">
      <c r="A450" t="s">
        <v>525</v>
      </c>
      <c r="B450" s="1">
        <v>45307</v>
      </c>
      <c r="C450" t="s">
        <v>2</v>
      </c>
      <c r="D450" t="s">
        <v>62</v>
      </c>
      <c r="E450" t="s">
        <v>30</v>
      </c>
      <c r="F450" t="s">
        <v>63</v>
      </c>
      <c r="G450">
        <v>7</v>
      </c>
      <c r="H450">
        <v>109896</v>
      </c>
      <c r="I450" t="s">
        <v>48</v>
      </c>
      <c r="J450">
        <v>769272</v>
      </c>
      <c r="K450" t="s">
        <v>21</v>
      </c>
      <c r="L450" t="s">
        <v>19</v>
      </c>
    </row>
    <row r="451" spans="1:12" x14ac:dyDescent="0.25">
      <c r="A451" t="s">
        <v>526</v>
      </c>
      <c r="B451" s="1">
        <v>45573</v>
      </c>
      <c r="C451" t="s">
        <v>4</v>
      </c>
      <c r="D451" t="s">
        <v>57</v>
      </c>
      <c r="E451" t="s">
        <v>30</v>
      </c>
      <c r="F451" t="s">
        <v>63</v>
      </c>
      <c r="G451">
        <v>21</v>
      </c>
      <c r="H451">
        <v>22541</v>
      </c>
      <c r="I451" t="s">
        <v>48</v>
      </c>
      <c r="J451">
        <v>473361</v>
      </c>
      <c r="K451" t="s">
        <v>26</v>
      </c>
      <c r="L451" t="s">
        <v>20</v>
      </c>
    </row>
    <row r="452" spans="1:12" x14ac:dyDescent="0.25">
      <c r="A452" t="s">
        <v>527</v>
      </c>
      <c r="B452" s="1">
        <v>45541</v>
      </c>
      <c r="C452" t="s">
        <v>4</v>
      </c>
      <c r="D452" t="s">
        <v>57</v>
      </c>
      <c r="E452" t="s">
        <v>31</v>
      </c>
      <c r="F452" t="s">
        <v>65</v>
      </c>
      <c r="G452">
        <v>7</v>
      </c>
      <c r="H452">
        <v>47813</v>
      </c>
      <c r="I452" t="s">
        <v>60</v>
      </c>
      <c r="J452">
        <v>317956.45</v>
      </c>
      <c r="K452" t="s">
        <v>26</v>
      </c>
      <c r="L452" t="s">
        <v>20</v>
      </c>
    </row>
    <row r="453" spans="1:12" x14ac:dyDescent="0.25">
      <c r="A453" t="s">
        <v>528</v>
      </c>
      <c r="B453" s="1">
        <v>45626</v>
      </c>
      <c r="C453" t="s">
        <v>2</v>
      </c>
      <c r="D453" t="s">
        <v>46</v>
      </c>
      <c r="E453" t="s">
        <v>32</v>
      </c>
      <c r="F453" t="s">
        <v>70</v>
      </c>
      <c r="G453">
        <v>21</v>
      </c>
      <c r="H453">
        <v>27070</v>
      </c>
      <c r="I453" t="s">
        <v>60</v>
      </c>
      <c r="J453">
        <v>540046.5</v>
      </c>
      <c r="K453" t="s">
        <v>22</v>
      </c>
      <c r="L453" t="s">
        <v>19</v>
      </c>
    </row>
    <row r="454" spans="1:12" x14ac:dyDescent="0.25">
      <c r="A454" t="s">
        <v>529</v>
      </c>
      <c r="B454" s="1">
        <v>45428</v>
      </c>
      <c r="C454" t="s">
        <v>2</v>
      </c>
      <c r="D454" t="s">
        <v>46</v>
      </c>
      <c r="E454" t="s">
        <v>31</v>
      </c>
      <c r="F454" t="s">
        <v>75</v>
      </c>
      <c r="G454">
        <v>19</v>
      </c>
      <c r="H454">
        <v>83559</v>
      </c>
      <c r="I454" t="s">
        <v>60</v>
      </c>
      <c r="J454">
        <v>1508239.95</v>
      </c>
      <c r="K454" t="s">
        <v>27</v>
      </c>
      <c r="L454" t="s">
        <v>20</v>
      </c>
    </row>
    <row r="455" spans="1:12" x14ac:dyDescent="0.25">
      <c r="A455" t="s">
        <v>530</v>
      </c>
      <c r="B455" s="1">
        <v>45619</v>
      </c>
      <c r="C455" t="s">
        <v>3</v>
      </c>
      <c r="D455" t="s">
        <v>69</v>
      </c>
      <c r="E455" t="s">
        <v>30</v>
      </c>
      <c r="F455" t="s">
        <v>85</v>
      </c>
      <c r="G455">
        <v>18</v>
      </c>
      <c r="H455">
        <v>44786</v>
      </c>
      <c r="I455" t="s">
        <v>60</v>
      </c>
      <c r="J455">
        <v>765840.6</v>
      </c>
      <c r="K455" t="s">
        <v>27</v>
      </c>
      <c r="L455" t="s">
        <v>20</v>
      </c>
    </row>
    <row r="456" spans="1:12" x14ac:dyDescent="0.25">
      <c r="A456" t="s">
        <v>531</v>
      </c>
      <c r="B456" s="1">
        <v>45506</v>
      </c>
      <c r="C456" t="s">
        <v>4</v>
      </c>
      <c r="D456" t="s">
        <v>93</v>
      </c>
      <c r="E456" t="s">
        <v>30</v>
      </c>
      <c r="F456" t="s">
        <v>85</v>
      </c>
      <c r="G456">
        <v>18</v>
      </c>
      <c r="H456">
        <v>39062</v>
      </c>
      <c r="I456" t="s">
        <v>60</v>
      </c>
      <c r="J456">
        <v>667960.19999999995</v>
      </c>
      <c r="K456" t="s">
        <v>21</v>
      </c>
      <c r="L456" t="s">
        <v>18</v>
      </c>
    </row>
    <row r="457" spans="1:12" x14ac:dyDescent="0.25">
      <c r="A457" t="s">
        <v>532</v>
      </c>
      <c r="B457" s="1">
        <v>45394</v>
      </c>
      <c r="C457" t="s">
        <v>3</v>
      </c>
      <c r="D457" t="s">
        <v>59</v>
      </c>
      <c r="E457" t="s">
        <v>32</v>
      </c>
      <c r="F457" t="s">
        <v>96</v>
      </c>
      <c r="G457">
        <v>17</v>
      </c>
      <c r="H457">
        <v>92613</v>
      </c>
      <c r="I457" t="s">
        <v>48</v>
      </c>
      <c r="J457">
        <v>1574421</v>
      </c>
      <c r="K457" t="s">
        <v>21</v>
      </c>
      <c r="L457" t="s">
        <v>18</v>
      </c>
    </row>
    <row r="458" spans="1:12" x14ac:dyDescent="0.25">
      <c r="A458" t="s">
        <v>533</v>
      </c>
      <c r="B458" s="1">
        <v>45450</v>
      </c>
      <c r="C458" t="s">
        <v>4</v>
      </c>
      <c r="D458" t="s">
        <v>93</v>
      </c>
      <c r="E458" t="s">
        <v>32</v>
      </c>
      <c r="F458" t="s">
        <v>70</v>
      </c>
      <c r="G458">
        <v>24</v>
      </c>
      <c r="H458">
        <v>124826</v>
      </c>
      <c r="I458" t="s">
        <v>60</v>
      </c>
      <c r="J458">
        <v>2846032.8</v>
      </c>
      <c r="K458" t="s">
        <v>24</v>
      </c>
      <c r="L458" t="s">
        <v>19</v>
      </c>
    </row>
    <row r="459" spans="1:12" x14ac:dyDescent="0.25">
      <c r="A459" t="s">
        <v>534</v>
      </c>
      <c r="B459" s="1">
        <v>45399</v>
      </c>
      <c r="C459" t="s">
        <v>2</v>
      </c>
      <c r="D459" t="s">
        <v>46</v>
      </c>
      <c r="E459" t="s">
        <v>30</v>
      </c>
      <c r="F459" t="s">
        <v>85</v>
      </c>
      <c r="G459">
        <v>13</v>
      </c>
      <c r="H459">
        <v>137055</v>
      </c>
      <c r="I459" t="s">
        <v>60</v>
      </c>
      <c r="J459">
        <v>1692629.25</v>
      </c>
      <c r="K459" t="s">
        <v>24</v>
      </c>
      <c r="L459" t="s">
        <v>20</v>
      </c>
    </row>
    <row r="460" spans="1:12" x14ac:dyDescent="0.25">
      <c r="A460" t="s">
        <v>535</v>
      </c>
      <c r="B460" s="1">
        <v>45474</v>
      </c>
      <c r="C460" t="s">
        <v>4</v>
      </c>
      <c r="D460" t="s">
        <v>93</v>
      </c>
      <c r="E460" t="s">
        <v>30</v>
      </c>
      <c r="F460" t="s">
        <v>63</v>
      </c>
      <c r="G460">
        <v>23</v>
      </c>
      <c r="H460">
        <v>97071</v>
      </c>
      <c r="I460" t="s">
        <v>48</v>
      </c>
      <c r="J460">
        <v>2232633</v>
      </c>
      <c r="K460" t="s">
        <v>21</v>
      </c>
      <c r="L460" t="s">
        <v>20</v>
      </c>
    </row>
    <row r="461" spans="1:12" x14ac:dyDescent="0.25">
      <c r="A461" t="s">
        <v>536</v>
      </c>
      <c r="B461" s="1">
        <v>45295</v>
      </c>
      <c r="C461" t="s">
        <v>2</v>
      </c>
      <c r="D461" t="s">
        <v>46</v>
      </c>
      <c r="E461" t="s">
        <v>29</v>
      </c>
      <c r="F461" t="s">
        <v>51</v>
      </c>
      <c r="G461">
        <v>22</v>
      </c>
      <c r="H461">
        <v>118608</v>
      </c>
      <c r="I461" t="s">
        <v>48</v>
      </c>
      <c r="J461">
        <v>2609376</v>
      </c>
      <c r="K461" t="s">
        <v>22</v>
      </c>
      <c r="L461" t="s">
        <v>18</v>
      </c>
    </row>
    <row r="462" spans="1:12" x14ac:dyDescent="0.25">
      <c r="A462" t="s">
        <v>537</v>
      </c>
      <c r="B462" s="1">
        <v>45501</v>
      </c>
      <c r="C462" t="s">
        <v>3</v>
      </c>
      <c r="D462" t="s">
        <v>59</v>
      </c>
      <c r="E462" t="s">
        <v>29</v>
      </c>
      <c r="F462" t="s">
        <v>89</v>
      </c>
      <c r="G462">
        <v>1</v>
      </c>
      <c r="H462">
        <v>82273</v>
      </c>
      <c r="I462" t="s">
        <v>48</v>
      </c>
      <c r="J462">
        <v>82273</v>
      </c>
      <c r="K462" t="s">
        <v>28</v>
      </c>
      <c r="L462" t="s">
        <v>20</v>
      </c>
    </row>
    <row r="463" spans="1:12" x14ac:dyDescent="0.25">
      <c r="A463" t="s">
        <v>538</v>
      </c>
      <c r="B463" s="1">
        <v>45399</v>
      </c>
      <c r="C463" t="s">
        <v>4</v>
      </c>
      <c r="D463" t="s">
        <v>57</v>
      </c>
      <c r="E463" t="s">
        <v>29</v>
      </c>
      <c r="F463" t="s">
        <v>47</v>
      </c>
      <c r="G463">
        <v>2</v>
      </c>
      <c r="H463">
        <v>126618</v>
      </c>
      <c r="I463" t="s">
        <v>52</v>
      </c>
      <c r="J463">
        <v>227912.4</v>
      </c>
      <c r="K463" t="s">
        <v>25</v>
      </c>
      <c r="L463" t="s">
        <v>18</v>
      </c>
    </row>
    <row r="464" spans="1:12" x14ac:dyDescent="0.25">
      <c r="A464" t="s">
        <v>539</v>
      </c>
      <c r="B464" s="1">
        <v>45461</v>
      </c>
      <c r="C464" t="s">
        <v>4</v>
      </c>
      <c r="D464" t="s">
        <v>93</v>
      </c>
      <c r="E464" t="s">
        <v>31</v>
      </c>
      <c r="F464" t="s">
        <v>106</v>
      </c>
      <c r="G464">
        <v>2</v>
      </c>
      <c r="H464">
        <v>128341</v>
      </c>
      <c r="I464" t="s">
        <v>48</v>
      </c>
      <c r="J464">
        <v>256682</v>
      </c>
      <c r="K464" t="s">
        <v>24</v>
      </c>
      <c r="L464" t="s">
        <v>18</v>
      </c>
    </row>
    <row r="465" spans="1:12" x14ac:dyDescent="0.25">
      <c r="A465" t="s">
        <v>540</v>
      </c>
      <c r="B465" s="1">
        <v>45542</v>
      </c>
      <c r="C465" t="s">
        <v>2</v>
      </c>
      <c r="D465" t="s">
        <v>54</v>
      </c>
      <c r="E465" t="s">
        <v>31</v>
      </c>
      <c r="F465" t="s">
        <v>98</v>
      </c>
      <c r="G465">
        <v>23</v>
      </c>
      <c r="H465">
        <v>30788</v>
      </c>
      <c r="I465" t="s">
        <v>48</v>
      </c>
      <c r="J465">
        <v>708124</v>
      </c>
      <c r="K465" t="s">
        <v>24</v>
      </c>
      <c r="L465" t="s">
        <v>20</v>
      </c>
    </row>
    <row r="466" spans="1:12" x14ac:dyDescent="0.25">
      <c r="A466" t="s">
        <v>541</v>
      </c>
      <c r="B466" s="1">
        <v>45565</v>
      </c>
      <c r="C466" t="s">
        <v>4</v>
      </c>
      <c r="D466" t="s">
        <v>50</v>
      </c>
      <c r="E466" t="s">
        <v>31</v>
      </c>
      <c r="F466" t="s">
        <v>80</v>
      </c>
      <c r="G466">
        <v>3</v>
      </c>
      <c r="H466">
        <v>99122</v>
      </c>
      <c r="I466" t="s">
        <v>48</v>
      </c>
      <c r="J466">
        <v>297366</v>
      </c>
      <c r="K466" t="s">
        <v>28</v>
      </c>
      <c r="L466" t="s">
        <v>19</v>
      </c>
    </row>
    <row r="467" spans="1:12" x14ac:dyDescent="0.25">
      <c r="A467" t="s">
        <v>542</v>
      </c>
      <c r="B467" s="1">
        <v>45330</v>
      </c>
      <c r="C467" t="s">
        <v>3</v>
      </c>
      <c r="D467" t="s">
        <v>59</v>
      </c>
      <c r="E467" t="s">
        <v>31</v>
      </c>
      <c r="F467" t="s">
        <v>65</v>
      </c>
      <c r="G467">
        <v>14</v>
      </c>
      <c r="H467">
        <v>19371</v>
      </c>
      <c r="I467" t="s">
        <v>48</v>
      </c>
      <c r="J467">
        <v>271194</v>
      </c>
      <c r="K467" t="s">
        <v>22</v>
      </c>
      <c r="L467" t="s">
        <v>20</v>
      </c>
    </row>
    <row r="468" spans="1:12" x14ac:dyDescent="0.25">
      <c r="A468" t="s">
        <v>543</v>
      </c>
      <c r="B468" s="1">
        <v>45320</v>
      </c>
      <c r="C468" t="s">
        <v>2</v>
      </c>
      <c r="D468" t="s">
        <v>46</v>
      </c>
      <c r="E468" t="s">
        <v>31</v>
      </c>
      <c r="F468" t="s">
        <v>98</v>
      </c>
      <c r="G468">
        <v>17</v>
      </c>
      <c r="H468">
        <v>64916</v>
      </c>
      <c r="I468" t="s">
        <v>48</v>
      </c>
      <c r="J468">
        <v>1103572</v>
      </c>
      <c r="K468" t="s">
        <v>26</v>
      </c>
      <c r="L468" t="s">
        <v>19</v>
      </c>
    </row>
    <row r="469" spans="1:12" x14ac:dyDescent="0.25">
      <c r="A469" t="s">
        <v>544</v>
      </c>
      <c r="B469" s="1">
        <v>45609</v>
      </c>
      <c r="C469" t="s">
        <v>3</v>
      </c>
      <c r="D469" t="s">
        <v>59</v>
      </c>
      <c r="E469" t="s">
        <v>32</v>
      </c>
      <c r="F469" t="s">
        <v>96</v>
      </c>
      <c r="G469">
        <v>21</v>
      </c>
      <c r="H469">
        <v>15984</v>
      </c>
      <c r="I469" t="s">
        <v>48</v>
      </c>
      <c r="J469">
        <v>335664</v>
      </c>
      <c r="K469" t="s">
        <v>28</v>
      </c>
      <c r="L469" t="s">
        <v>20</v>
      </c>
    </row>
    <row r="470" spans="1:12" x14ac:dyDescent="0.25">
      <c r="A470" t="s">
        <v>545</v>
      </c>
      <c r="B470" s="1">
        <v>45563</v>
      </c>
      <c r="C470" t="s">
        <v>4</v>
      </c>
      <c r="D470" t="s">
        <v>93</v>
      </c>
      <c r="E470" t="s">
        <v>31</v>
      </c>
      <c r="F470" t="s">
        <v>75</v>
      </c>
      <c r="G470">
        <v>24</v>
      </c>
      <c r="H470">
        <v>86691</v>
      </c>
      <c r="I470" t="s">
        <v>52</v>
      </c>
      <c r="J470">
        <v>1872525.6</v>
      </c>
      <c r="K470" t="s">
        <v>22</v>
      </c>
      <c r="L470" t="s">
        <v>18</v>
      </c>
    </row>
    <row r="471" spans="1:12" x14ac:dyDescent="0.25">
      <c r="A471" t="s">
        <v>546</v>
      </c>
      <c r="B471" s="1">
        <v>45530</v>
      </c>
      <c r="C471" t="s">
        <v>4</v>
      </c>
      <c r="D471" t="s">
        <v>93</v>
      </c>
      <c r="E471" t="s">
        <v>29</v>
      </c>
      <c r="F471" t="s">
        <v>89</v>
      </c>
      <c r="G471">
        <v>10</v>
      </c>
      <c r="H471">
        <v>108373</v>
      </c>
      <c r="I471" t="s">
        <v>52</v>
      </c>
      <c r="J471">
        <v>975357</v>
      </c>
      <c r="K471" t="s">
        <v>28</v>
      </c>
      <c r="L471" t="s">
        <v>18</v>
      </c>
    </row>
    <row r="472" spans="1:12" x14ac:dyDescent="0.25">
      <c r="A472" t="s">
        <v>547</v>
      </c>
      <c r="B472" s="1">
        <v>45650</v>
      </c>
      <c r="C472" t="s">
        <v>2</v>
      </c>
      <c r="D472" t="s">
        <v>46</v>
      </c>
      <c r="E472" t="s">
        <v>32</v>
      </c>
      <c r="F472" t="s">
        <v>70</v>
      </c>
      <c r="G472">
        <v>20</v>
      </c>
      <c r="H472">
        <v>146748</v>
      </c>
      <c r="I472" t="s">
        <v>52</v>
      </c>
      <c r="J472">
        <v>2641464</v>
      </c>
      <c r="K472" t="s">
        <v>26</v>
      </c>
      <c r="L472" t="s">
        <v>18</v>
      </c>
    </row>
    <row r="473" spans="1:12" x14ac:dyDescent="0.25">
      <c r="A473" t="s">
        <v>548</v>
      </c>
      <c r="B473" s="1">
        <v>45356</v>
      </c>
      <c r="C473" t="s">
        <v>2</v>
      </c>
      <c r="D473" t="s">
        <v>54</v>
      </c>
      <c r="E473" t="s">
        <v>32</v>
      </c>
      <c r="F473" t="s">
        <v>122</v>
      </c>
      <c r="G473">
        <v>17</v>
      </c>
      <c r="H473">
        <v>5050</v>
      </c>
      <c r="I473" t="s">
        <v>52</v>
      </c>
      <c r="J473">
        <v>77265</v>
      </c>
      <c r="K473" t="s">
        <v>26</v>
      </c>
      <c r="L473" t="s">
        <v>20</v>
      </c>
    </row>
    <row r="474" spans="1:12" x14ac:dyDescent="0.25">
      <c r="A474" t="s">
        <v>549</v>
      </c>
      <c r="B474" s="1">
        <v>45433</v>
      </c>
      <c r="C474" t="s">
        <v>4</v>
      </c>
      <c r="D474" t="s">
        <v>57</v>
      </c>
      <c r="E474" t="s">
        <v>32</v>
      </c>
      <c r="F474" t="s">
        <v>122</v>
      </c>
      <c r="G474">
        <v>24</v>
      </c>
      <c r="H474">
        <v>35413</v>
      </c>
      <c r="I474" t="s">
        <v>48</v>
      </c>
      <c r="J474">
        <v>849912</v>
      </c>
      <c r="K474" t="s">
        <v>22</v>
      </c>
      <c r="L474" t="s">
        <v>19</v>
      </c>
    </row>
    <row r="475" spans="1:12" x14ac:dyDescent="0.25">
      <c r="A475" t="s">
        <v>550</v>
      </c>
      <c r="B475" s="1">
        <v>45615</v>
      </c>
      <c r="C475" t="s">
        <v>3</v>
      </c>
      <c r="D475" t="s">
        <v>59</v>
      </c>
      <c r="E475" t="s">
        <v>29</v>
      </c>
      <c r="F475" t="s">
        <v>89</v>
      </c>
      <c r="G475">
        <v>18</v>
      </c>
      <c r="H475">
        <v>115573</v>
      </c>
      <c r="I475" t="s">
        <v>48</v>
      </c>
      <c r="J475">
        <v>2080314</v>
      </c>
      <c r="K475" t="s">
        <v>26</v>
      </c>
      <c r="L475" t="s">
        <v>20</v>
      </c>
    </row>
    <row r="476" spans="1:12" x14ac:dyDescent="0.25">
      <c r="A476" t="s">
        <v>551</v>
      </c>
      <c r="B476" s="1">
        <v>45584</v>
      </c>
      <c r="C476" t="s">
        <v>4</v>
      </c>
      <c r="D476" t="s">
        <v>57</v>
      </c>
      <c r="E476" t="s">
        <v>29</v>
      </c>
      <c r="F476" t="s">
        <v>47</v>
      </c>
      <c r="G476">
        <v>16</v>
      </c>
      <c r="H476">
        <v>138566</v>
      </c>
      <c r="I476" t="s">
        <v>48</v>
      </c>
      <c r="J476">
        <v>2217056</v>
      </c>
      <c r="K476" t="s">
        <v>24</v>
      </c>
      <c r="L476" t="s">
        <v>19</v>
      </c>
    </row>
    <row r="477" spans="1:12" x14ac:dyDescent="0.25">
      <c r="A477" t="s">
        <v>552</v>
      </c>
      <c r="B477" s="1">
        <v>45596</v>
      </c>
      <c r="C477" t="s">
        <v>2</v>
      </c>
      <c r="D477" t="s">
        <v>54</v>
      </c>
      <c r="E477" t="s">
        <v>29</v>
      </c>
      <c r="F477" t="s">
        <v>72</v>
      </c>
      <c r="G477">
        <v>24</v>
      </c>
      <c r="H477">
        <v>46001</v>
      </c>
      <c r="I477" t="s">
        <v>52</v>
      </c>
      <c r="J477">
        <v>993621.6</v>
      </c>
      <c r="K477" t="s">
        <v>24</v>
      </c>
      <c r="L477" t="s">
        <v>19</v>
      </c>
    </row>
    <row r="478" spans="1:12" x14ac:dyDescent="0.25">
      <c r="A478" t="s">
        <v>553</v>
      </c>
      <c r="B478" s="1">
        <v>45584</v>
      </c>
      <c r="C478" t="s">
        <v>3</v>
      </c>
      <c r="D478" t="s">
        <v>67</v>
      </c>
      <c r="E478" t="s">
        <v>29</v>
      </c>
      <c r="F478" t="s">
        <v>55</v>
      </c>
      <c r="G478">
        <v>5</v>
      </c>
      <c r="H478">
        <v>134878</v>
      </c>
      <c r="I478" t="s">
        <v>48</v>
      </c>
      <c r="J478">
        <v>674390</v>
      </c>
      <c r="K478" t="s">
        <v>21</v>
      </c>
      <c r="L478" t="s">
        <v>18</v>
      </c>
    </row>
    <row r="479" spans="1:12" x14ac:dyDescent="0.25">
      <c r="A479" t="s">
        <v>554</v>
      </c>
      <c r="B479" s="1">
        <v>45610</v>
      </c>
      <c r="C479" t="s">
        <v>3</v>
      </c>
      <c r="D479" t="s">
        <v>69</v>
      </c>
      <c r="E479" t="s">
        <v>32</v>
      </c>
      <c r="F479" t="s">
        <v>96</v>
      </c>
      <c r="G479">
        <v>14</v>
      </c>
      <c r="H479">
        <v>129295</v>
      </c>
      <c r="I479" t="s">
        <v>48</v>
      </c>
      <c r="J479">
        <v>1810130</v>
      </c>
      <c r="K479" t="s">
        <v>25</v>
      </c>
      <c r="L479" t="s">
        <v>19</v>
      </c>
    </row>
    <row r="480" spans="1:12" x14ac:dyDescent="0.25">
      <c r="A480" t="s">
        <v>555</v>
      </c>
      <c r="B480" s="1">
        <v>45302</v>
      </c>
      <c r="C480" t="s">
        <v>3</v>
      </c>
      <c r="D480" t="s">
        <v>59</v>
      </c>
      <c r="E480" t="s">
        <v>29</v>
      </c>
      <c r="F480" t="s">
        <v>55</v>
      </c>
      <c r="G480">
        <v>13</v>
      </c>
      <c r="H480">
        <v>27262</v>
      </c>
      <c r="I480" t="s">
        <v>52</v>
      </c>
      <c r="J480">
        <v>318965.40000000002</v>
      </c>
      <c r="K480" t="s">
        <v>26</v>
      </c>
      <c r="L480" t="s">
        <v>18</v>
      </c>
    </row>
    <row r="481" spans="1:12" x14ac:dyDescent="0.25">
      <c r="A481" t="s">
        <v>556</v>
      </c>
      <c r="B481" s="1">
        <v>45343</v>
      </c>
      <c r="C481" t="s">
        <v>2</v>
      </c>
      <c r="D481" t="s">
        <v>46</v>
      </c>
      <c r="E481" t="s">
        <v>32</v>
      </c>
      <c r="F481" t="s">
        <v>122</v>
      </c>
      <c r="G481">
        <v>4</v>
      </c>
      <c r="H481">
        <v>131583</v>
      </c>
      <c r="I481" t="s">
        <v>48</v>
      </c>
      <c r="J481">
        <v>526332</v>
      </c>
      <c r="K481" t="s">
        <v>25</v>
      </c>
      <c r="L481" t="s">
        <v>18</v>
      </c>
    </row>
    <row r="482" spans="1:12" x14ac:dyDescent="0.25">
      <c r="A482" t="s">
        <v>557</v>
      </c>
      <c r="B482" s="1">
        <v>45439</v>
      </c>
      <c r="C482" t="s">
        <v>4</v>
      </c>
      <c r="D482" t="s">
        <v>50</v>
      </c>
      <c r="E482" t="s">
        <v>29</v>
      </c>
      <c r="F482" t="s">
        <v>72</v>
      </c>
      <c r="G482">
        <v>22</v>
      </c>
      <c r="H482">
        <v>44844</v>
      </c>
      <c r="I482" t="s">
        <v>48</v>
      </c>
      <c r="J482">
        <v>986568</v>
      </c>
      <c r="K482" t="s">
        <v>28</v>
      </c>
      <c r="L482" t="s">
        <v>19</v>
      </c>
    </row>
    <row r="483" spans="1:12" x14ac:dyDescent="0.25">
      <c r="A483" t="s">
        <v>558</v>
      </c>
      <c r="B483" s="1">
        <v>45534</v>
      </c>
      <c r="C483" t="s">
        <v>4</v>
      </c>
      <c r="D483" t="s">
        <v>50</v>
      </c>
      <c r="E483" t="s">
        <v>32</v>
      </c>
      <c r="F483" t="s">
        <v>70</v>
      </c>
      <c r="G483">
        <v>13</v>
      </c>
      <c r="H483">
        <v>80129</v>
      </c>
      <c r="I483" t="s">
        <v>52</v>
      </c>
      <c r="J483">
        <v>937509.3</v>
      </c>
      <c r="K483" t="s">
        <v>23</v>
      </c>
      <c r="L483" t="s">
        <v>20</v>
      </c>
    </row>
    <row r="484" spans="1:12" x14ac:dyDescent="0.25">
      <c r="A484" t="s">
        <v>559</v>
      </c>
      <c r="B484" s="1">
        <v>45398</v>
      </c>
      <c r="C484" t="s">
        <v>3</v>
      </c>
      <c r="D484" t="s">
        <v>67</v>
      </c>
      <c r="E484" t="s">
        <v>29</v>
      </c>
      <c r="F484" t="s">
        <v>72</v>
      </c>
      <c r="G484">
        <v>2</v>
      </c>
      <c r="H484">
        <v>119953</v>
      </c>
      <c r="I484" t="s">
        <v>52</v>
      </c>
      <c r="J484">
        <v>215915.4</v>
      </c>
      <c r="K484" t="s">
        <v>22</v>
      </c>
      <c r="L484" t="s">
        <v>19</v>
      </c>
    </row>
    <row r="485" spans="1:12" x14ac:dyDescent="0.25">
      <c r="A485" t="s">
        <v>560</v>
      </c>
      <c r="B485" s="1">
        <v>45532</v>
      </c>
      <c r="C485" t="s">
        <v>3</v>
      </c>
      <c r="D485" t="s">
        <v>67</v>
      </c>
      <c r="E485" t="s">
        <v>30</v>
      </c>
      <c r="F485" t="s">
        <v>85</v>
      </c>
      <c r="G485">
        <v>3</v>
      </c>
      <c r="H485">
        <v>148271</v>
      </c>
      <c r="I485" t="s">
        <v>48</v>
      </c>
      <c r="J485">
        <v>444813</v>
      </c>
      <c r="K485" t="s">
        <v>26</v>
      </c>
      <c r="L485" t="s">
        <v>18</v>
      </c>
    </row>
    <row r="486" spans="1:12" x14ac:dyDescent="0.25">
      <c r="A486" t="s">
        <v>561</v>
      </c>
      <c r="B486" s="1">
        <v>45553</v>
      </c>
      <c r="C486" t="s">
        <v>3</v>
      </c>
      <c r="D486" t="s">
        <v>69</v>
      </c>
      <c r="E486" t="s">
        <v>32</v>
      </c>
      <c r="F486" t="s">
        <v>109</v>
      </c>
      <c r="G486">
        <v>5</v>
      </c>
      <c r="H486">
        <v>76781</v>
      </c>
      <c r="I486" t="s">
        <v>52</v>
      </c>
      <c r="J486">
        <v>345514.5</v>
      </c>
      <c r="K486" t="s">
        <v>28</v>
      </c>
      <c r="L486" t="s">
        <v>20</v>
      </c>
    </row>
    <row r="487" spans="1:12" x14ac:dyDescent="0.25">
      <c r="A487" t="s">
        <v>562</v>
      </c>
      <c r="B487" s="1">
        <v>45338</v>
      </c>
      <c r="C487" t="s">
        <v>4</v>
      </c>
      <c r="D487" t="s">
        <v>93</v>
      </c>
      <c r="E487" t="s">
        <v>29</v>
      </c>
      <c r="F487" t="s">
        <v>51</v>
      </c>
      <c r="G487">
        <v>23</v>
      </c>
      <c r="H487">
        <v>49600</v>
      </c>
      <c r="I487" t="s">
        <v>52</v>
      </c>
      <c r="J487">
        <v>1026720</v>
      </c>
      <c r="K487" t="s">
        <v>28</v>
      </c>
      <c r="L487" t="s">
        <v>20</v>
      </c>
    </row>
    <row r="488" spans="1:12" x14ac:dyDescent="0.25">
      <c r="A488" t="s">
        <v>563</v>
      </c>
      <c r="B488" s="1">
        <v>45390</v>
      </c>
      <c r="C488" t="s">
        <v>3</v>
      </c>
      <c r="D488" t="s">
        <v>67</v>
      </c>
      <c r="E488" t="s">
        <v>30</v>
      </c>
      <c r="F488" t="s">
        <v>91</v>
      </c>
      <c r="G488">
        <v>20</v>
      </c>
      <c r="H488">
        <v>33448</v>
      </c>
      <c r="I488" t="s">
        <v>52</v>
      </c>
      <c r="J488">
        <v>602064</v>
      </c>
      <c r="K488" t="s">
        <v>22</v>
      </c>
      <c r="L488" t="s">
        <v>20</v>
      </c>
    </row>
    <row r="489" spans="1:12" x14ac:dyDescent="0.25">
      <c r="A489" t="s">
        <v>564</v>
      </c>
      <c r="B489" s="1">
        <v>45352</v>
      </c>
      <c r="C489" t="s">
        <v>4</v>
      </c>
      <c r="D489" t="s">
        <v>57</v>
      </c>
      <c r="E489" t="s">
        <v>29</v>
      </c>
      <c r="F489" t="s">
        <v>47</v>
      </c>
      <c r="G489">
        <v>10</v>
      </c>
      <c r="H489">
        <v>115855</v>
      </c>
      <c r="I489" t="s">
        <v>60</v>
      </c>
      <c r="J489">
        <v>1100622.5</v>
      </c>
      <c r="K489" t="s">
        <v>21</v>
      </c>
      <c r="L489" t="s">
        <v>19</v>
      </c>
    </row>
    <row r="490" spans="1:12" x14ac:dyDescent="0.25">
      <c r="A490" t="s">
        <v>565</v>
      </c>
      <c r="B490" s="1">
        <v>45294</v>
      </c>
      <c r="C490" t="s">
        <v>4</v>
      </c>
      <c r="D490" t="s">
        <v>93</v>
      </c>
      <c r="E490" t="s">
        <v>30</v>
      </c>
      <c r="F490" t="s">
        <v>85</v>
      </c>
      <c r="G490">
        <v>3</v>
      </c>
      <c r="H490">
        <v>64413</v>
      </c>
      <c r="I490" t="s">
        <v>60</v>
      </c>
      <c r="J490">
        <v>183577.05</v>
      </c>
      <c r="K490" t="s">
        <v>26</v>
      </c>
      <c r="L490" t="s">
        <v>18</v>
      </c>
    </row>
    <row r="491" spans="1:12" x14ac:dyDescent="0.25">
      <c r="A491" t="s">
        <v>566</v>
      </c>
      <c r="B491" s="1">
        <v>45560</v>
      </c>
      <c r="C491" t="s">
        <v>2</v>
      </c>
      <c r="D491" t="s">
        <v>46</v>
      </c>
      <c r="E491" t="s">
        <v>31</v>
      </c>
      <c r="F491" t="s">
        <v>65</v>
      </c>
      <c r="G491">
        <v>24</v>
      </c>
      <c r="H491">
        <v>36660</v>
      </c>
      <c r="I491" t="s">
        <v>52</v>
      </c>
      <c r="J491">
        <v>791856</v>
      </c>
      <c r="K491" t="s">
        <v>24</v>
      </c>
      <c r="L491" t="s">
        <v>19</v>
      </c>
    </row>
    <row r="492" spans="1:12" x14ac:dyDescent="0.25">
      <c r="A492" t="s">
        <v>567</v>
      </c>
      <c r="B492" s="1">
        <v>45380</v>
      </c>
      <c r="C492" t="s">
        <v>4</v>
      </c>
      <c r="D492" t="s">
        <v>93</v>
      </c>
      <c r="E492" t="s">
        <v>29</v>
      </c>
      <c r="F492" t="s">
        <v>89</v>
      </c>
      <c r="G492">
        <v>9</v>
      </c>
      <c r="H492">
        <v>105979</v>
      </c>
      <c r="I492" t="s">
        <v>48</v>
      </c>
      <c r="J492">
        <v>953811</v>
      </c>
      <c r="K492" t="s">
        <v>27</v>
      </c>
      <c r="L492" t="s">
        <v>20</v>
      </c>
    </row>
    <row r="493" spans="1:12" x14ac:dyDescent="0.25">
      <c r="A493" t="s">
        <v>568</v>
      </c>
      <c r="B493" s="1">
        <v>45648</v>
      </c>
      <c r="C493" t="s">
        <v>2</v>
      </c>
      <c r="D493" t="s">
        <v>62</v>
      </c>
      <c r="E493" t="s">
        <v>32</v>
      </c>
      <c r="F493" t="s">
        <v>87</v>
      </c>
      <c r="G493">
        <v>2</v>
      </c>
      <c r="H493">
        <v>86560</v>
      </c>
      <c r="I493" t="s">
        <v>52</v>
      </c>
      <c r="J493">
        <v>155808</v>
      </c>
      <c r="K493" t="s">
        <v>23</v>
      </c>
      <c r="L493" t="s">
        <v>20</v>
      </c>
    </row>
    <row r="494" spans="1:12" x14ac:dyDescent="0.25">
      <c r="A494" t="s">
        <v>569</v>
      </c>
      <c r="B494" s="1">
        <v>45614</v>
      </c>
      <c r="C494" t="s">
        <v>4</v>
      </c>
      <c r="D494" t="s">
        <v>50</v>
      </c>
      <c r="E494" t="s">
        <v>29</v>
      </c>
      <c r="F494" t="s">
        <v>55</v>
      </c>
      <c r="G494">
        <v>9</v>
      </c>
      <c r="H494">
        <v>20602</v>
      </c>
      <c r="I494" t="s">
        <v>48</v>
      </c>
      <c r="J494">
        <v>185418</v>
      </c>
      <c r="K494" t="s">
        <v>25</v>
      </c>
      <c r="L494" t="s">
        <v>20</v>
      </c>
    </row>
    <row r="495" spans="1:12" x14ac:dyDescent="0.25">
      <c r="A495" t="s">
        <v>570</v>
      </c>
      <c r="B495" s="1">
        <v>45517</v>
      </c>
      <c r="C495" t="s">
        <v>2</v>
      </c>
      <c r="D495" t="s">
        <v>62</v>
      </c>
      <c r="E495" t="s">
        <v>31</v>
      </c>
      <c r="F495" t="s">
        <v>98</v>
      </c>
      <c r="G495">
        <v>12</v>
      </c>
      <c r="H495">
        <v>97377</v>
      </c>
      <c r="I495" t="s">
        <v>48</v>
      </c>
      <c r="J495">
        <v>1168524</v>
      </c>
      <c r="K495" t="s">
        <v>24</v>
      </c>
      <c r="L495" t="s">
        <v>19</v>
      </c>
    </row>
    <row r="496" spans="1:12" x14ac:dyDescent="0.25">
      <c r="A496" t="s">
        <v>571</v>
      </c>
      <c r="B496" s="1">
        <v>45300</v>
      </c>
      <c r="C496" t="s">
        <v>2</v>
      </c>
      <c r="D496" t="s">
        <v>62</v>
      </c>
      <c r="E496" t="s">
        <v>30</v>
      </c>
      <c r="F496" t="s">
        <v>124</v>
      </c>
      <c r="G496">
        <v>15</v>
      </c>
      <c r="H496">
        <v>130015</v>
      </c>
      <c r="I496" t="s">
        <v>52</v>
      </c>
      <c r="J496">
        <v>1755202.5</v>
      </c>
      <c r="K496" t="s">
        <v>26</v>
      </c>
      <c r="L496" t="s">
        <v>19</v>
      </c>
    </row>
    <row r="497" spans="1:12" x14ac:dyDescent="0.25">
      <c r="A497" t="s">
        <v>572</v>
      </c>
      <c r="B497" s="1">
        <v>45316</v>
      </c>
      <c r="C497" t="s">
        <v>4</v>
      </c>
      <c r="D497" t="s">
        <v>50</v>
      </c>
      <c r="E497" t="s">
        <v>31</v>
      </c>
      <c r="F497" t="s">
        <v>80</v>
      </c>
      <c r="G497">
        <v>5</v>
      </c>
      <c r="H497">
        <v>53106</v>
      </c>
      <c r="I497" t="s">
        <v>52</v>
      </c>
      <c r="J497">
        <v>238977</v>
      </c>
      <c r="K497" t="s">
        <v>26</v>
      </c>
      <c r="L497" t="s">
        <v>20</v>
      </c>
    </row>
    <row r="498" spans="1:12" x14ac:dyDescent="0.25">
      <c r="A498" t="s">
        <v>573</v>
      </c>
      <c r="B498" s="1">
        <v>45517</v>
      </c>
      <c r="C498" t="s">
        <v>2</v>
      </c>
      <c r="D498" t="s">
        <v>62</v>
      </c>
      <c r="E498" t="s">
        <v>31</v>
      </c>
      <c r="F498" t="s">
        <v>98</v>
      </c>
      <c r="G498">
        <v>24</v>
      </c>
      <c r="H498">
        <v>108595</v>
      </c>
      <c r="I498" t="s">
        <v>60</v>
      </c>
      <c r="J498">
        <v>2475966</v>
      </c>
      <c r="K498" t="s">
        <v>28</v>
      </c>
      <c r="L498" t="s">
        <v>20</v>
      </c>
    </row>
    <row r="499" spans="1:12" x14ac:dyDescent="0.25">
      <c r="A499" t="s">
        <v>574</v>
      </c>
      <c r="B499" s="1">
        <v>45329</v>
      </c>
      <c r="C499" t="s">
        <v>2</v>
      </c>
      <c r="D499" t="s">
        <v>54</v>
      </c>
      <c r="E499" t="s">
        <v>31</v>
      </c>
      <c r="F499" t="s">
        <v>80</v>
      </c>
      <c r="G499">
        <v>8</v>
      </c>
      <c r="H499">
        <v>138044</v>
      </c>
      <c r="I499" t="s">
        <v>60</v>
      </c>
      <c r="J499">
        <v>1049134.3999999999</v>
      </c>
      <c r="K499" t="s">
        <v>27</v>
      </c>
      <c r="L499" t="s">
        <v>18</v>
      </c>
    </row>
    <row r="500" spans="1:12" x14ac:dyDescent="0.25">
      <c r="A500" t="s">
        <v>575</v>
      </c>
      <c r="B500" s="1">
        <v>45467</v>
      </c>
      <c r="C500" t="s">
        <v>3</v>
      </c>
      <c r="D500" t="s">
        <v>67</v>
      </c>
      <c r="E500" t="s">
        <v>31</v>
      </c>
      <c r="F500" t="s">
        <v>98</v>
      </c>
      <c r="G500">
        <v>18</v>
      </c>
      <c r="H500">
        <v>109532</v>
      </c>
      <c r="I500" t="s">
        <v>48</v>
      </c>
      <c r="J500">
        <v>1971576</v>
      </c>
      <c r="K500" t="s">
        <v>26</v>
      </c>
      <c r="L500" t="s">
        <v>19</v>
      </c>
    </row>
    <row r="501" spans="1:12" x14ac:dyDescent="0.25">
      <c r="A501" t="s">
        <v>576</v>
      </c>
      <c r="B501" s="1">
        <v>45607</v>
      </c>
      <c r="C501" t="s">
        <v>2</v>
      </c>
      <c r="D501" t="s">
        <v>54</v>
      </c>
      <c r="E501" t="s">
        <v>31</v>
      </c>
      <c r="F501" t="s">
        <v>80</v>
      </c>
      <c r="G501">
        <v>16</v>
      </c>
      <c r="H501">
        <v>137092</v>
      </c>
      <c r="I501" t="s">
        <v>48</v>
      </c>
      <c r="J501">
        <v>2193472</v>
      </c>
      <c r="K501" t="s">
        <v>23</v>
      </c>
      <c r="L501" t="s">
        <v>20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H18:S24"/>
  <sheetViews>
    <sheetView showGridLines="0" topLeftCell="G1" zoomScale="96" zoomScaleNormal="96" workbookViewId="0">
      <selection activeCell="S28" sqref="S28"/>
    </sheetView>
  </sheetViews>
  <sheetFormatPr defaultRowHeight="15" x14ac:dyDescent="0.25"/>
  <cols>
    <col min="1" max="18" width="9.140625" style="10" customWidth="1"/>
    <col min="19" max="19" width="14.85546875" style="10" bestFit="1" customWidth="1"/>
    <col min="20" max="20" width="15.140625" style="10" customWidth="1"/>
    <col min="21" max="21" width="9.140625" style="10" customWidth="1"/>
    <col min="22" max="16384" width="9.140625" style="10"/>
  </cols>
  <sheetData>
    <row r="18" spans="8:19" x14ac:dyDescent="0.25">
      <c r="H18" s="9"/>
    </row>
    <row r="20" spans="8:19" x14ac:dyDescent="0.25">
      <c r="S20" s="10">
        <f>SUM(Sales_Data[Total Sales])</f>
        <v>462222904.6500001</v>
      </c>
    </row>
    <row r="21" spans="8:19" x14ac:dyDescent="0.25">
      <c r="S21" s="10">
        <f>SUM(Sales_Data[Units Sold])</f>
        <v>6301</v>
      </c>
    </row>
    <row r="22" spans="8:19" x14ac:dyDescent="0.25">
      <c r="S22" s="10">
        <f>IF(COUNT(Sales_Data[Total Sales])=0, "No Data", AVERAGE(Sales_Data[Total Sales]))</f>
        <v>924445.8093000002</v>
      </c>
    </row>
    <row r="23" spans="8:19" x14ac:dyDescent="0.25">
      <c r="S23" s="10">
        <f>LARGE(Sales_Data[Total Sales], 1)</f>
        <v>3526704</v>
      </c>
    </row>
    <row r="24" spans="8:19" x14ac:dyDescent="0.25">
      <c r="S24" s="10" t="str">
        <f>INDEX(Sales_Data[Salesperson], MATCH(S23, Sales_Data[Total Sales], 0))</f>
        <v>John Doe</v>
      </c>
    </row>
  </sheetData>
  <pageMargins left="0.7" right="0.7" top="0.75" bottom="0.75" header="0.3" footer="0.3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AD15"/>
  <sheetViews>
    <sheetView showGridLines="0" tabSelected="1" topLeftCell="R1" workbookViewId="0"/>
  </sheetViews>
  <sheetFormatPr defaultRowHeight="15" x14ac:dyDescent="0.25"/>
  <sheetData>
    <row r="2" spans="2:30" x14ac:dyDescent="0.25">
      <c r="B2" s="7" t="s">
        <v>577</v>
      </c>
      <c r="C2" s="8"/>
      <c r="D2" s="8"/>
      <c r="E2" s="8"/>
      <c r="F2" s="8"/>
      <c r="G2" s="8"/>
      <c r="H2" s="8"/>
      <c r="I2" s="8"/>
      <c r="J2" s="8"/>
      <c r="L2" s="7" t="s">
        <v>578</v>
      </c>
      <c r="M2" s="8"/>
      <c r="N2" s="8"/>
      <c r="O2" s="8"/>
      <c r="P2" s="8"/>
      <c r="Q2" s="8"/>
      <c r="R2" s="8"/>
      <c r="S2" s="8"/>
      <c r="T2" s="8"/>
      <c r="V2" s="7" t="s">
        <v>579</v>
      </c>
      <c r="W2" s="8"/>
      <c r="X2" s="8"/>
      <c r="Y2" s="8"/>
      <c r="Z2" s="8"/>
      <c r="AA2" s="8"/>
      <c r="AB2" s="8"/>
      <c r="AC2" s="8"/>
      <c r="AD2" s="8"/>
    </row>
    <row r="3" spans="2:30" x14ac:dyDescent="0.25">
      <c r="B3" s="8"/>
      <c r="C3" s="8"/>
      <c r="D3" s="8"/>
      <c r="E3" s="8"/>
      <c r="F3" s="8"/>
      <c r="G3" s="8"/>
      <c r="H3" s="8"/>
      <c r="I3" s="8"/>
      <c r="J3" s="8"/>
      <c r="L3" s="8"/>
      <c r="M3" s="8"/>
      <c r="N3" s="8"/>
      <c r="O3" s="8"/>
      <c r="P3" s="8"/>
      <c r="Q3" s="8"/>
      <c r="R3" s="8"/>
      <c r="S3" s="8"/>
      <c r="T3" s="8"/>
      <c r="V3" s="8"/>
      <c r="W3" s="8"/>
      <c r="X3" s="8"/>
      <c r="Y3" s="8"/>
      <c r="Z3" s="8"/>
      <c r="AA3" s="8"/>
      <c r="AB3" s="8"/>
      <c r="AC3" s="8"/>
      <c r="AD3" s="8"/>
    </row>
    <row r="4" spans="2:30" x14ac:dyDescent="0.25">
      <c r="B4" s="8"/>
      <c r="C4" s="8"/>
      <c r="D4" s="8"/>
      <c r="E4" s="8"/>
      <c r="F4" s="8"/>
      <c r="G4" s="8"/>
      <c r="H4" s="8"/>
      <c r="I4" s="8"/>
      <c r="J4" s="8"/>
      <c r="L4" s="8"/>
      <c r="M4" s="8"/>
      <c r="N4" s="8"/>
      <c r="O4" s="8"/>
      <c r="P4" s="8"/>
      <c r="Q4" s="8"/>
      <c r="R4" s="8"/>
      <c r="S4" s="8"/>
      <c r="T4" s="8"/>
      <c r="V4" s="8"/>
      <c r="W4" s="8"/>
      <c r="X4" s="8"/>
      <c r="Y4" s="8"/>
      <c r="Z4" s="8"/>
      <c r="AA4" s="8"/>
      <c r="AB4" s="8"/>
      <c r="AC4" s="8"/>
      <c r="AD4" s="8"/>
    </row>
    <row r="5" spans="2:30" x14ac:dyDescent="0.25">
      <c r="B5" s="8"/>
      <c r="C5" s="8"/>
      <c r="D5" s="8"/>
      <c r="E5" s="8"/>
      <c r="F5" s="8"/>
      <c r="G5" s="8"/>
      <c r="H5" s="8"/>
      <c r="I5" s="8"/>
      <c r="J5" s="8"/>
      <c r="L5" s="8"/>
      <c r="M5" s="8"/>
      <c r="N5" s="8"/>
      <c r="O5" s="8"/>
      <c r="P5" s="8"/>
      <c r="Q5" s="8"/>
      <c r="R5" s="8"/>
      <c r="S5" s="8"/>
      <c r="T5" s="8"/>
      <c r="V5" s="8"/>
      <c r="W5" s="8"/>
      <c r="X5" s="8"/>
      <c r="Y5" s="8"/>
      <c r="Z5" s="8"/>
      <c r="AA5" s="8"/>
      <c r="AB5" s="8"/>
      <c r="AC5" s="8"/>
      <c r="AD5" s="8"/>
    </row>
    <row r="6" spans="2:30" x14ac:dyDescent="0.25">
      <c r="B6" s="8"/>
      <c r="C6" s="8"/>
      <c r="D6" s="8"/>
      <c r="E6" s="8"/>
      <c r="F6" s="8"/>
      <c r="G6" s="8"/>
      <c r="H6" s="8"/>
      <c r="I6" s="8"/>
      <c r="J6" s="8"/>
      <c r="L6" s="8"/>
      <c r="M6" s="8"/>
      <c r="N6" s="8"/>
      <c r="O6" s="8"/>
      <c r="P6" s="8"/>
      <c r="Q6" s="8"/>
      <c r="R6" s="8"/>
      <c r="S6" s="8"/>
      <c r="T6" s="8"/>
      <c r="V6" s="8"/>
      <c r="W6" s="8"/>
      <c r="X6" s="8"/>
      <c r="Y6" s="8"/>
      <c r="Z6" s="8"/>
      <c r="AA6" s="8"/>
      <c r="AB6" s="8"/>
      <c r="AC6" s="8"/>
      <c r="AD6" s="8"/>
    </row>
    <row r="7" spans="2:30" x14ac:dyDescent="0.25">
      <c r="B7" s="8"/>
      <c r="C7" s="8"/>
      <c r="D7" s="8"/>
      <c r="E7" s="8"/>
      <c r="F7" s="8"/>
      <c r="G7" s="8"/>
      <c r="H7" s="8"/>
      <c r="I7" s="8"/>
      <c r="J7" s="8"/>
      <c r="L7" s="8"/>
      <c r="M7" s="8"/>
      <c r="N7" s="8"/>
      <c r="O7" s="8"/>
      <c r="P7" s="8"/>
      <c r="Q7" s="8"/>
      <c r="R7" s="8"/>
      <c r="S7" s="8"/>
      <c r="T7" s="8"/>
      <c r="V7" s="8"/>
      <c r="W7" s="8"/>
      <c r="X7" s="8"/>
      <c r="Y7" s="8"/>
      <c r="Z7" s="8"/>
      <c r="AA7" s="8"/>
      <c r="AB7" s="8"/>
      <c r="AC7" s="8"/>
      <c r="AD7" s="8"/>
    </row>
    <row r="10" spans="2:30" x14ac:dyDescent="0.25">
      <c r="B10" s="7" t="s">
        <v>580</v>
      </c>
      <c r="C10" s="8"/>
      <c r="D10" s="8"/>
      <c r="E10" s="8"/>
      <c r="F10" s="8"/>
      <c r="G10" s="8"/>
      <c r="H10" s="8"/>
      <c r="I10" s="8"/>
      <c r="J10" s="8"/>
      <c r="L10" s="7" t="s">
        <v>581</v>
      </c>
      <c r="M10" s="8"/>
      <c r="N10" s="8"/>
      <c r="O10" s="8"/>
      <c r="P10" s="8"/>
      <c r="Q10" s="8"/>
      <c r="R10" s="8"/>
      <c r="S10" s="8"/>
      <c r="T10" s="8"/>
      <c r="V10" s="7" t="s">
        <v>582</v>
      </c>
      <c r="W10" s="8"/>
      <c r="X10" s="8"/>
      <c r="Y10" s="8"/>
      <c r="Z10" s="8"/>
      <c r="AA10" s="8"/>
      <c r="AB10" s="8"/>
      <c r="AC10" s="8"/>
      <c r="AD10" s="8"/>
    </row>
    <row r="11" spans="2:30" x14ac:dyDescent="0.25">
      <c r="B11" s="8"/>
      <c r="C11" s="8"/>
      <c r="D11" s="8"/>
      <c r="E11" s="8"/>
      <c r="F11" s="8"/>
      <c r="G11" s="8"/>
      <c r="H11" s="8"/>
      <c r="I11" s="8"/>
      <c r="J11" s="8"/>
      <c r="L11" s="8"/>
      <c r="M11" s="8"/>
      <c r="N11" s="8"/>
      <c r="O11" s="8"/>
      <c r="P11" s="8"/>
      <c r="Q11" s="8"/>
      <c r="R11" s="8"/>
      <c r="S11" s="8"/>
      <c r="T11" s="8"/>
      <c r="V11" s="8"/>
      <c r="W11" s="8"/>
      <c r="X11" s="8"/>
      <c r="Y11" s="8"/>
      <c r="Z11" s="8"/>
      <c r="AA11" s="8"/>
      <c r="AB11" s="8"/>
      <c r="AC11" s="8"/>
      <c r="AD11" s="8"/>
    </row>
    <row r="12" spans="2:30" x14ac:dyDescent="0.25">
      <c r="B12" s="8"/>
      <c r="C12" s="8"/>
      <c r="D12" s="8"/>
      <c r="E12" s="8"/>
      <c r="F12" s="8"/>
      <c r="G12" s="8"/>
      <c r="H12" s="8"/>
      <c r="I12" s="8"/>
      <c r="J12" s="8"/>
      <c r="L12" s="8"/>
      <c r="M12" s="8"/>
      <c r="N12" s="8"/>
      <c r="O12" s="8"/>
      <c r="P12" s="8"/>
      <c r="Q12" s="8"/>
      <c r="R12" s="8"/>
      <c r="S12" s="8"/>
      <c r="T12" s="8"/>
      <c r="V12" s="8"/>
      <c r="W12" s="8"/>
      <c r="X12" s="8"/>
      <c r="Y12" s="8"/>
      <c r="Z12" s="8"/>
      <c r="AA12" s="8"/>
      <c r="AB12" s="8"/>
      <c r="AC12" s="8"/>
      <c r="AD12" s="8"/>
    </row>
    <row r="13" spans="2:30" x14ac:dyDescent="0.25">
      <c r="B13" s="8"/>
      <c r="C13" s="8"/>
      <c r="D13" s="8"/>
      <c r="E13" s="8"/>
      <c r="F13" s="8"/>
      <c r="G13" s="8"/>
      <c r="H13" s="8"/>
      <c r="I13" s="8"/>
      <c r="J13" s="8"/>
      <c r="L13" s="8"/>
      <c r="M13" s="8"/>
      <c r="N13" s="8"/>
      <c r="O13" s="8"/>
      <c r="P13" s="8"/>
      <c r="Q13" s="8"/>
      <c r="R13" s="8"/>
      <c r="S13" s="8"/>
      <c r="T13" s="8"/>
      <c r="V13" s="8"/>
      <c r="W13" s="8"/>
      <c r="X13" s="8"/>
      <c r="Y13" s="8"/>
      <c r="Z13" s="8"/>
      <c r="AA13" s="8"/>
      <c r="AB13" s="8"/>
      <c r="AC13" s="8"/>
      <c r="AD13" s="8"/>
    </row>
    <row r="14" spans="2:30" x14ac:dyDescent="0.25">
      <c r="B14" s="8"/>
      <c r="C14" s="8"/>
      <c r="D14" s="8"/>
      <c r="E14" s="8"/>
      <c r="F14" s="8"/>
      <c r="G14" s="8"/>
      <c r="H14" s="8"/>
      <c r="I14" s="8"/>
      <c r="J14" s="8"/>
      <c r="L14" s="8"/>
      <c r="M14" s="8"/>
      <c r="N14" s="8"/>
      <c r="O14" s="8"/>
      <c r="P14" s="8"/>
      <c r="Q14" s="8"/>
      <c r="R14" s="8"/>
      <c r="S14" s="8"/>
      <c r="T14" s="8"/>
      <c r="V14" s="8"/>
      <c r="W14" s="8"/>
      <c r="X14" s="8"/>
      <c r="Y14" s="8"/>
      <c r="Z14" s="8"/>
      <c r="AA14" s="8"/>
      <c r="AB14" s="8"/>
      <c r="AC14" s="8"/>
      <c r="AD14" s="8"/>
    </row>
    <row r="15" spans="2:30" x14ac:dyDescent="0.25">
      <c r="B15" s="8"/>
      <c r="C15" s="8"/>
      <c r="D15" s="8"/>
      <c r="E15" s="8"/>
      <c r="F15" s="8"/>
      <c r="G15" s="8"/>
      <c r="H15" s="8"/>
      <c r="I15" s="8"/>
      <c r="J15" s="8"/>
      <c r="L15" s="8"/>
      <c r="M15" s="8"/>
      <c r="N15" s="8"/>
      <c r="O15" s="8"/>
      <c r="P15" s="8"/>
      <c r="Q15" s="8"/>
      <c r="R15" s="8"/>
      <c r="S15" s="8"/>
      <c r="T15" s="8"/>
      <c r="V15" s="8"/>
      <c r="W15" s="8"/>
      <c r="X15" s="8"/>
      <c r="Y15" s="8"/>
      <c r="Z15" s="8"/>
      <c r="AA15" s="8"/>
      <c r="AB15" s="8"/>
      <c r="AC15" s="8"/>
      <c r="AD15" s="8"/>
    </row>
  </sheetData>
  <mergeCells count="6">
    <mergeCell ref="B2:J7"/>
    <mergeCell ref="L2:T7"/>
    <mergeCell ref="V2:AD7"/>
    <mergeCell ref="B10:J15"/>
    <mergeCell ref="L10:T15"/>
    <mergeCell ref="V10:A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Sheet3</vt:lpstr>
      <vt:lpstr>Sheet4</vt:lpstr>
      <vt:lpstr>Sheet5</vt:lpstr>
      <vt:lpstr>Sheet6</vt:lpstr>
      <vt:lpstr>Sheet1</vt:lpstr>
      <vt:lpstr>Dashboard</vt:lpstr>
      <vt:lpstr>Dashboard_A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Dauda Abdullahi</dc:creator>
  <cp:lastModifiedBy>k</cp:lastModifiedBy>
  <cp:lastPrinted>2025-11-14T08:55:10Z</cp:lastPrinted>
  <dcterms:created xsi:type="dcterms:W3CDTF">2025-11-12T09:18:36Z</dcterms:created>
  <dcterms:modified xsi:type="dcterms:W3CDTF">2025-11-20T22:53:40Z</dcterms:modified>
</cp:coreProperties>
</file>